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Read_Me" sheetId="1" state="visible" r:id="rId3"/>
    <sheet name="Dashboard" sheetId="2" state="visible" r:id="rId4"/>
    <sheet name="Inventory_Data" sheetId="3" state="visible" r:id="rId5"/>
    <sheet name="Alert_Report" sheetId="4" state="visible" r:id="rId6"/>
    <sheet name="Stock_Lookup" sheetId="5" state="visible" r:id="rId7"/>
    <sheet name="Suppliers" sheetId="6" state="visible" r:id="rId8"/>
    <sheet name="Settings" sheetId="7" state="visible" r:id="rId9"/>
    <sheet name="Data_Dictionary" sheetId="8" state="visible" r:id="rId10"/>
    <sheet name="Source_Notes" sheetId="9" state="visible" r:id="rId11"/>
    <sheet name="Formulas_Used" sheetId="10" state="visible" r:id="rId12"/>
  </sheets>
  <definedNames>
    <definedName function="false" hidden="true" localSheetId="2" name="_xlnm._FilterDatabase" vbProcedure="false">Inventory_Data!$A$4:$I$104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<sst xmlns="http://schemas.openxmlformats.org/spreadsheetml/2006/main" count="886" uniqueCount="359">
  <si>
    <t xml:space="preserve">INVENTORY STOCK ALERT SYSTEM</t>
  </si>
  <si>
    <t xml:space="preserve">Step 1-8 | Complete working model: live status, dashboard, alert report and lookup</t>
  </si>
  <si>
    <t xml:space="preserve">Project Objective</t>
  </si>
  <si>
    <t xml:space="preserve">Build an inventory monitoring model that identifies products requiring reorder based on current stock and a reorder-level rule.</t>
  </si>
  <si>
    <t xml:space="preserve">Step 1</t>
  </si>
  <si>
    <t xml:space="preserve">Created the Excel workbook and structured the inventory data sheet.</t>
  </si>
  <si>
    <t xml:space="preserve">Step 2</t>
  </si>
  <si>
    <t xml:space="preserve">Selected and cleaned relevant inventory fields from the uploaded Kaggle dataset.</t>
  </si>
  <si>
    <t xml:space="preserve">Step 3</t>
  </si>
  <si>
    <t xml:space="preserve">Prepared a professional inventory master table with 100 latest-snapshot store-product records.</t>
  </si>
  <si>
    <t xml:space="preserve">Source</t>
  </si>
  <si>
    <t xml:space="preserve">Uploaded Kaggle Retail Store Inventory and Demand Forecasting dataset (retail_store_inventory.csv).</t>
  </si>
  <si>
    <t xml:space="preserve">Snapshot Used</t>
  </si>
  <si>
    <t xml:space="preserve">Latest available date in the uploaded dataset: 01-Jan-2024.</t>
  </si>
  <si>
    <t xml:space="preserve">Reorder Level Rule</t>
  </si>
  <si>
    <t xml:space="preserve">The source dataset does not contain a dedicated Reorder Level column. Demand Forecast is therefore used as the derived Reorder Level for this working model.</t>
  </si>
  <si>
    <t xml:space="preserve">Step 4 Preview</t>
  </si>
  <si>
    <t xml:space="preserve">Stock Status is now calculated live with an Excel formula: REORDER NOW / LOW STOCK / IN STOCK (see Formulas_Used).</t>
  </si>
  <si>
    <t xml:space="preserve">Step 4</t>
  </si>
  <si>
    <t xml:space="preserve">Stock Status formula added to Inventory_Data (REORDER NOW / LOW STOCK / IN STOCK) with colour-coded alerts.</t>
  </si>
  <si>
    <t xml:space="preserve">Step 5</t>
  </si>
  <si>
    <t xml:space="preserve">Extra data added: Suppliers sheet (lead time, reliability) and Avg Daily Sales per item. Used for days-of-cover, priority and delivery dates.</t>
  </si>
  <si>
    <t xml:space="preserve">Step 6</t>
  </si>
  <si>
    <t xml:space="preserve">Calculated columns: Days of Cover, Priority (CRITICAL/HIGH/MEDIUM), Suggested Reorder Qty, Stock Value, Reorder Cost, Expected Delivery, Action.</t>
  </si>
  <si>
    <t xml:space="preserve">Step 7</t>
  </si>
  <si>
    <t xml:space="preserve">Dashboard (KPIs, filters, charts, breakdowns, Top 10), Alert_Report (auto-sorted action list) and Stock_Lookup (search any item).</t>
  </si>
  <si>
    <t xml:space="preserve">Step 8</t>
  </si>
  <si>
    <t xml:space="preserve">Formulas_Used sheet documents every formula and function used in the model.</t>
  </si>
  <si>
    <t xml:space="preserve">How to use</t>
  </si>
  <si>
    <t xml:space="preserve">Change Settings (buffer %, order-up-to multiple) or edit Current Stock / Reorder Level in Inventory_Data - every sheet updates automatically.</t>
  </si>
  <si>
    <t xml:space="preserve">Colour code</t>
  </si>
  <si>
    <t xml:space="preserve">Blue text = input / assumption. Black = formula. Yellow cell = editable control. Red / Amber / Green = alert level.</t>
  </si>
  <si>
    <t xml:space="preserve">Sheet guide</t>
  </si>
  <si>
    <t xml:space="preserve">Dashboard | Inventory_Data | Alert_Report | Stock_Lookup | Suppliers | Settings | Data_Dictionary | Source_Notes | Formulas_Used</t>
  </si>
  <si>
    <t xml:space="preserve">INVENTORY STOCK ALERT DASHBOARD</t>
  </si>
  <si>
    <t xml:space="preserve">Store</t>
  </si>
  <si>
    <t xml:space="preserve">All</t>
  </si>
  <si>
    <t xml:space="preserve">Category</t>
  </si>
  <si>
    <t xml:space="preserve">&lt;- choose filters from the dropdowns; the KPI cards below update instantly</t>
  </si>
  <si>
    <t xml:space="preserve">TOTAL ITEMS</t>
  </si>
  <si>
    <t xml:space="preserve">REORDER NOW</t>
  </si>
  <si>
    <t xml:space="preserve">LOW STOCK</t>
  </si>
  <si>
    <t xml:space="preserve">IN STOCK</t>
  </si>
  <si>
    <t xml:space="preserve">STOCK HEALTH %</t>
  </si>
  <si>
    <t xml:space="preserve">STOCK VALUE (₹)</t>
  </si>
  <si>
    <t xml:space="preserve">EST. REORDER COST (₹)</t>
  </si>
  <si>
    <t xml:space="preserve">VISUAL OVERVIEW</t>
  </si>
  <si>
    <t xml:space="preserve">STOCK STATUS BREAKDOWN (all data)</t>
  </si>
  <si>
    <t xml:space="preserve">Total</t>
  </si>
  <si>
    <t xml:space="preserve">% Needing Alert</t>
  </si>
  <si>
    <t xml:space="preserve">S001</t>
  </si>
  <si>
    <t xml:space="preserve">Clothing</t>
  </si>
  <si>
    <t xml:space="preserve">S002</t>
  </si>
  <si>
    <t xml:space="preserve">Electronics</t>
  </si>
  <si>
    <t xml:space="preserve">S003</t>
  </si>
  <si>
    <t xml:space="preserve">Furniture</t>
  </si>
  <si>
    <t xml:space="preserve">S004</t>
  </si>
  <si>
    <t xml:space="preserve">Groceries</t>
  </si>
  <si>
    <t xml:space="preserve">S005</t>
  </si>
  <si>
    <t xml:space="preserve">Toys</t>
  </si>
  <si>
    <t xml:space="preserve">TOTAL</t>
  </si>
  <si>
    <t xml:space="preserve">Region</t>
  </si>
  <si>
    <t xml:space="preserve">Priority</t>
  </si>
  <si>
    <t xml:space="preserve">Items</t>
  </si>
  <si>
    <t xml:space="preserve">Units to Order</t>
  </si>
  <si>
    <t xml:space="preserve">Order Cost (₹)</t>
  </si>
  <si>
    <t xml:space="preserve">Avg Days of Cover</t>
  </si>
  <si>
    <t xml:space="preserve">Avg Lead Time (Days)</t>
  </si>
  <si>
    <t xml:space="preserve">East</t>
  </si>
  <si>
    <t xml:space="preserve">CRITICAL</t>
  </si>
  <si>
    <t xml:space="preserve">North</t>
  </si>
  <si>
    <t xml:space="preserve">HIGH</t>
  </si>
  <si>
    <t xml:space="preserve">South</t>
  </si>
  <si>
    <t xml:space="preserve">MEDIUM</t>
  </si>
  <si>
    <t xml:space="preserve">West</t>
  </si>
  <si>
    <t xml:space="preserve">-</t>
  </si>
  <si>
    <t xml:space="preserve">TOP 10 PRIORITY ALERTS (all stores, ranked by urgency)</t>
  </si>
  <si>
    <t xml:space="preserve">Rank</t>
  </si>
  <si>
    <t xml:space="preserve">Product ID</t>
  </si>
  <si>
    <t xml:space="preserve">Current Stock</t>
  </si>
  <si>
    <t xml:space="preserve">Reorder Level</t>
  </si>
  <si>
    <t xml:space="preserve">Status</t>
  </si>
  <si>
    <t xml:space="preserve">Days of Cover</t>
  </si>
  <si>
    <t xml:space="preserve">Lead Time (Days)</t>
  </si>
  <si>
    <t xml:space="preserve">Supplier</t>
  </si>
  <si>
    <t xml:space="preserve">Qty to Order</t>
  </si>
  <si>
    <t xml:space="preserve">Est. Cost (₹)</t>
  </si>
  <si>
    <t xml:space="preserve">Recommended Action</t>
  </si>
  <si>
    <t xml:space="preserve">Latest inventory snapshot | Stock Status &amp; alert columns are live formulas | Blue = assumed input, Black = formula, Grey header = helper columns</t>
  </si>
  <si>
    <t xml:space="preserve">Date</t>
  </si>
  <si>
    <t xml:space="preserve">Store ID</t>
  </si>
  <si>
    <t xml:space="preserve">Unit Price (₹)</t>
  </si>
  <si>
    <t xml:space="preserve">Stock Status</t>
  </si>
  <si>
    <t xml:space="preserve">Avg Daily Sales (Units)</t>
  </si>
  <si>
    <t xml:space="preserve">Suggested Reorder Qty</t>
  </si>
  <si>
    <t xml:space="preserve">Stock Value (₹)</t>
  </si>
  <si>
    <t xml:space="preserve">Reorder Cost (₹)</t>
  </si>
  <si>
    <t xml:space="preserve">Expected Delivery</t>
  </si>
  <si>
    <t xml:space="preserve">Priority Score (helper)</t>
  </si>
  <si>
    <t xml:space="preserve">Alert Rank (helper)</t>
  </si>
  <si>
    <t xml:space="preserve">P0001</t>
  </si>
  <si>
    <t xml:space="preserve">P0002</t>
  </si>
  <si>
    <t xml:space="preserve">P0003</t>
  </si>
  <si>
    <t xml:space="preserve">P0004</t>
  </si>
  <si>
    <t xml:space="preserve">P0005</t>
  </si>
  <si>
    <t xml:space="preserve">P0006</t>
  </si>
  <si>
    <t xml:space="preserve">P0007</t>
  </si>
  <si>
    <t xml:space="preserve">P0008</t>
  </si>
  <si>
    <t xml:space="preserve">P0009</t>
  </si>
  <si>
    <t xml:space="preserve">P0010</t>
  </si>
  <si>
    <t xml:space="preserve">P0011</t>
  </si>
  <si>
    <t xml:space="preserve">P0012</t>
  </si>
  <si>
    <t xml:space="preserve">P0013</t>
  </si>
  <si>
    <t xml:space="preserve">P0014</t>
  </si>
  <si>
    <t xml:space="preserve">P0015</t>
  </si>
  <si>
    <t xml:space="preserve">P0016</t>
  </si>
  <si>
    <t xml:space="preserve">P0017</t>
  </si>
  <si>
    <t xml:space="preserve">P0018</t>
  </si>
  <si>
    <t xml:space="preserve">P0019</t>
  </si>
  <si>
    <t xml:space="preserve">P0020</t>
  </si>
  <si>
    <t xml:space="preserve">LIVE ALERT REPORT - ITEMS REQUIRING ACTION</t>
  </si>
  <si>
    <t xml:space="preserve">STOCK CHECK - SEARCH ANY ITEM</t>
  </si>
  <si>
    <t xml:space="preserve">Pick a Store and Product ID from the dropdowns (yellow cells) to see its live stock alert.</t>
  </si>
  <si>
    <t xml:space="preserve">Record # (auto)</t>
  </si>
  <si>
    <t xml:space="preserve">Field</t>
  </si>
  <si>
    <t xml:space="preserve">Value</t>
  </si>
  <si>
    <t xml:space="preserve">Estimated Reorder Cost (₹)</t>
  </si>
  <si>
    <t xml:space="preserve">SUPPLIER MASTER</t>
  </si>
  <si>
    <t xml:space="preserve">Illustrative supplier data added for the working model (not from Kaggle). Edit blue cells to match real suppliers.</t>
  </si>
  <si>
    <t xml:space="preserve">Supplier ID</t>
  </si>
  <si>
    <t xml:space="preserve">Supplier Name</t>
  </si>
  <si>
    <t xml:space="preserve">Category Supplied</t>
  </si>
  <si>
    <t xml:space="preserve">Reliability Rating (%)</t>
  </si>
  <si>
    <t xml:space="preserve">City</t>
  </si>
  <si>
    <t xml:space="preserve">Contact (sample)</t>
  </si>
  <si>
    <t xml:space="preserve">SUP01</t>
  </si>
  <si>
    <t xml:space="preserve">StyleHub Wholesale</t>
  </si>
  <si>
    <t xml:space="preserve">Tiruppur</t>
  </si>
  <si>
    <t xml:space="preserve">orders@stylehub.example</t>
  </si>
  <si>
    <t xml:space="preserve">SUP02</t>
  </si>
  <si>
    <t xml:space="preserve">TechSource India</t>
  </si>
  <si>
    <t xml:space="preserve">Chennai</t>
  </si>
  <si>
    <t xml:space="preserve">supply@techsource.example</t>
  </si>
  <si>
    <t xml:space="preserve">SUP03</t>
  </si>
  <si>
    <t xml:space="preserve">HomeCraft Suppliers</t>
  </si>
  <si>
    <t xml:space="preserve">Coimbatore</t>
  </si>
  <si>
    <t xml:space="preserve">po@homecraft.example</t>
  </si>
  <si>
    <t xml:space="preserve">SUP04</t>
  </si>
  <si>
    <t xml:space="preserve">FreshLink Traders</t>
  </si>
  <si>
    <t xml:space="preserve">Madurai</t>
  </si>
  <si>
    <t xml:space="preserve">dispatch@freshlink.example</t>
  </si>
  <si>
    <t xml:space="preserve">SUP05</t>
  </si>
  <si>
    <t xml:space="preserve">PlayWorld Distributors</t>
  </si>
  <si>
    <t xml:space="preserve">Bengaluru</t>
  </si>
  <si>
    <t xml:space="preserve">sales@playworld.example</t>
  </si>
  <si>
    <t xml:space="preserve">Lead Time and Reliability are assumed values for modelling. Each category is mapped to one supplier; the Inventory_Data sheet looks the supplier up automatically.</t>
  </si>
  <si>
    <t xml:space="preserve">CONTROL PANEL - ALERT RULES &amp; LISTS</t>
  </si>
  <si>
    <t xml:space="preserve">Blue text on yellow = editable input. Change a value and every sheet recalculates automatically.</t>
  </si>
  <si>
    <t xml:space="preserve">Parameter</t>
  </si>
  <si>
    <t xml:space="preserve">Description</t>
  </si>
  <si>
    <t xml:space="preserve">Store List</t>
  </si>
  <si>
    <t xml:space="preserve">Category List</t>
  </si>
  <si>
    <t xml:space="preserve">Product ID List</t>
  </si>
  <si>
    <t xml:space="preserve">Low Stock Buffer (%)</t>
  </si>
  <si>
    <t xml:space="preserve">Stock above Reorder Level but within this % of it is flagged LOW STOCK (early warning).</t>
  </si>
  <si>
    <t xml:space="preserve">Order-Up-To Multiple (x Reorder Level)</t>
  </si>
  <si>
    <t xml:space="preserve">Target stock after replenishment = Reorder Level x this multiple. Used for Suggested Reorder Qty.</t>
  </si>
  <si>
    <t xml:space="preserve">Report Date</t>
  </si>
  <si>
    <t xml:space="preserve">Latest inventory date in the data. Expected Delivery = Report Date + supplier lead time.</t>
  </si>
  <si>
    <t xml:space="preserve">Auto helper cells (do not edit)</t>
  </si>
  <si>
    <t xml:space="preserve">Dashboard store filter criterion</t>
  </si>
  <si>
    <t xml:space="preserve">"*" = match everything when the filter is set to All.</t>
  </si>
  <si>
    <t xml:space="preserve">Dashboard category filter criterion</t>
  </si>
  <si>
    <t xml:space="preserve">DATA DICTIONARY</t>
  </si>
  <si>
    <t xml:space="preserve">Column</t>
  </si>
  <si>
    <t xml:space="preserve">Meaning</t>
  </si>
  <si>
    <t xml:space="preserve">Source / Rule</t>
  </si>
  <si>
    <t xml:space="preserve">Data Type</t>
  </si>
  <si>
    <t xml:space="preserve">Inventory record date</t>
  </si>
  <si>
    <t xml:space="preserve">Kaggle source</t>
  </si>
  <si>
    <t xml:space="preserve">Store identifier</t>
  </si>
  <si>
    <t xml:space="preserve">Text</t>
  </si>
  <si>
    <t xml:space="preserve">Product identifier</t>
  </si>
  <si>
    <t xml:space="preserve">Product category</t>
  </si>
  <si>
    <t xml:space="preserve">Store region</t>
  </si>
  <si>
    <t xml:space="preserve">Units currently available</t>
  </si>
  <si>
    <t xml:space="preserve">Kaggle: Inventory Level</t>
  </si>
  <si>
    <t xml:space="preserve">Number</t>
  </si>
  <si>
    <t xml:space="preserve">Stock threshold used for alerting</t>
  </si>
  <si>
    <t xml:space="preserve">Derived from Demand Forecast (rounded)</t>
  </si>
  <si>
    <t xml:space="preserve">Price per unit</t>
  </si>
  <si>
    <t xml:space="preserve">Kaggle: Price</t>
  </si>
  <si>
    <t xml:space="preserve">Currency</t>
  </si>
  <si>
    <t xml:space="preserve">Inventory alert category</t>
  </si>
  <si>
    <t xml:space="preserve">Formula: REORDER NOW if Stock &lt;= Reorder Level; LOW STOCK if within buffer %; else IN STOCK</t>
  </si>
  <si>
    <t xml:space="preserve">Formula/Text</t>
  </si>
  <si>
    <t xml:space="preserve">Supplier mapped to the product category</t>
  </si>
  <si>
    <t xml:space="preserve">Lookup from Suppliers sheet</t>
  </si>
  <si>
    <t xml:space="preserve">Days the supplier takes to deliver</t>
  </si>
  <si>
    <t xml:space="preserve">Lookup from Suppliers sheet (assumed)</t>
  </si>
  <si>
    <t xml:space="preserve">Formula/Number</t>
  </si>
  <si>
    <t xml:space="preserve">Average units sold per day</t>
  </si>
  <si>
    <t xml:space="preserve">Added assumption (simulated around demand / lead time)</t>
  </si>
  <si>
    <t xml:space="preserve">How many days current stock will last</t>
  </si>
  <si>
    <t xml:space="preserve">Current Stock / Avg Daily Sales</t>
  </si>
  <si>
    <t xml:space="preserve">Urgency of the alert</t>
  </si>
  <si>
    <t xml:space="preserve">CRITICAL if cover &lt; lead time; HIGH if reorder now; MEDIUM if low stock</t>
  </si>
  <si>
    <t xml:space="preserve">Units to order to refill</t>
  </si>
  <si>
    <t xml:space="preserve">Reorder Level x Order-Up-To Multiple - Current Stock</t>
  </si>
  <si>
    <t xml:space="preserve">Value of stock on hand</t>
  </si>
  <si>
    <t xml:space="preserve">Current Stock x Unit Price</t>
  </si>
  <si>
    <t xml:space="preserve">Formula/Currency</t>
  </si>
  <si>
    <t xml:space="preserve">Cost of suggested order</t>
  </si>
  <si>
    <t xml:space="preserve">Suggested Qty x Unit Price</t>
  </si>
  <si>
    <t xml:space="preserve">Estimated arrival date of new stock</t>
  </si>
  <si>
    <t xml:space="preserve">Report Date + Lead Time</t>
  </si>
  <si>
    <t xml:space="preserve">Formula/Date</t>
  </si>
  <si>
    <t xml:space="preserve">Plain-language instruction</t>
  </si>
  <si>
    <t xml:space="preserve">Based on Priority</t>
  </si>
  <si>
    <t xml:space="preserve">Numeric score used to rank alerts</t>
  </si>
  <si>
    <t xml:space="preserve">Tier weight + shortfall ratio + tiny tiebreak</t>
  </si>
  <si>
    <t xml:space="preserve">Rank of the alert (1 = most urgent)</t>
  </si>
  <si>
    <t xml:space="preserve">SUMPRODUCT rank on Priority Score</t>
  </si>
  <si>
    <t xml:space="preserve">SOURCE &amp; DATA PREPARATION NOTES</t>
  </si>
  <si>
    <t xml:space="preserve">Original file</t>
  </si>
  <si>
    <t xml:space="preserve">retail_store_inventory.csv</t>
  </si>
  <si>
    <t xml:space="preserve">Original records</t>
  </si>
  <si>
    <t xml:space="preserve">73,100</t>
  </si>
  <si>
    <t xml:space="preserve">Original fields</t>
  </si>
  <si>
    <t xml:space="preserve">15</t>
  </si>
  <si>
    <t xml:space="preserve">Date range</t>
  </si>
  <si>
    <t xml:space="preserve">01-Jan-2022 to 01-Jan-2024</t>
  </si>
  <si>
    <t xml:space="preserve">Working snapshot</t>
  </si>
  <si>
    <t xml:space="preserve">100 records from 01-Jan-2024</t>
  </si>
  <si>
    <t xml:space="preserve">Why snapshot?</t>
  </si>
  <si>
    <t xml:space="preserve">A single latest-date snapshot keeps the working model focused on current inventory rather than mixing historical records.</t>
  </si>
  <si>
    <t xml:space="preserve">Not present in source. Demand Forecast is used as the derived threshold and is clearly documented so the model is transparent.</t>
  </si>
  <si>
    <t xml:space="preserve">Data integrity</t>
  </si>
  <si>
    <t xml:space="preserve">No source values were invented. Only the working-model Reorder Level was derived from the source Demand Forecast field.</t>
  </si>
  <si>
    <t xml:space="preserve">Extra data added</t>
  </si>
  <si>
    <t xml:space="preserve">Suppliers (names, lead times, reliability) and Avg Daily Sales were added as illustrative modelling assumptions. They are NOT from the Kaggle dataset and are shown in blue so they can be replaced with real data.</t>
  </si>
  <si>
    <t xml:space="preserve">FORMULAS &amp; FUNCTIONS USED IN THIS MODEL</t>
  </si>
  <si>
    <t xml:space="preserve">Every formula below is live in the workbook. Examples show the formula as written for the first data row.</t>
  </si>
  <si>
    <t xml:space="preserve">#</t>
  </si>
  <si>
    <t xml:space="preserve">Function / Feature</t>
  </si>
  <si>
    <t xml:space="preserve">Where Used</t>
  </si>
  <si>
    <t xml:space="preserve">Purpose</t>
  </si>
  <si>
    <t xml:space="preserve">Example Formula</t>
  </si>
  <si>
    <t xml:space="preserve">How It Works</t>
  </si>
  <si>
    <t xml:space="preserve">IF (nested)</t>
  </si>
  <si>
    <t xml:space="preserve">Inventory_Data!I (Stock Status)</t>
  </si>
  <si>
    <t xml:space="preserve">Classify each item as REORDER NOW / LOW STOCK / IN STOCK</t>
  </si>
  <si>
    <t xml:space="preserve">=IF(F5&lt;=G5,"REORDER NOW",IF(F5&lt;=G5*(1+Settings!$B$5),"LOW STOCK","IN STOCK"))</t>
  </si>
  <si>
    <t xml:space="preserve">Checks stock against the reorder level first; if not below it, checks whether it is within the buffer % above it; otherwise the item is healthy.</t>
  </si>
  <si>
    <t xml:space="preserve">INDEX + MATCH</t>
  </si>
  <si>
    <t xml:space="preserve">Inventory_Data!J,K; Alert_Report; Dashboard Top 10; Stock_Lookup</t>
  </si>
  <si>
    <t xml:space="preserve">Look up a value from another table/row</t>
  </si>
  <si>
    <t xml:space="preserve">=IFERROR(INDEX(Suppliers!$B$5:$B$9,MATCH(D5,Suppliers!$C$5:$C$9,0)),"Unassigned")</t>
  </si>
  <si>
    <t xml:space="preserve">MATCH finds the position of the category in the supplier list; INDEX returns the supplier name at that position.</t>
  </si>
  <si>
    <t xml:space="preserve">IFERROR</t>
  </si>
  <si>
    <t xml:space="preserve">Lookups throughout</t>
  </si>
  <si>
    <t xml:space="preserve">Show a clean fallback instead of an error</t>
  </si>
  <si>
    <t xml:space="preserve">=IFERROR(INDEX(...),"Unassigned")</t>
  </si>
  <si>
    <t xml:space="preserve">If the lookup fails (e.g. category missing), the fallback value appears instead of an error value.</t>
  </si>
  <si>
    <t xml:space="preserve">ROUND</t>
  </si>
  <si>
    <t xml:space="preserve">Inventory_Data!M (Days of Cover)</t>
  </si>
  <si>
    <t xml:space="preserve">Round days of cover to 1 decimal</t>
  </si>
  <si>
    <t xml:space="preserve">=IF(L5&gt;0,ROUND(F5/L5,1),"")</t>
  </si>
  <si>
    <t xml:space="preserve">Divides stock by average daily sales to get how many days stock lasts; guards against divide-by-zero.</t>
  </si>
  <si>
    <t xml:space="preserve">AND + IF</t>
  </si>
  <si>
    <t xml:space="preserve">Inventory_Data!N (Priority)</t>
  </si>
  <si>
    <t xml:space="preserve">Assign urgency level</t>
  </si>
  <si>
    <t xml:space="preserve">=IF(I5="IN STOCK","-",IF(AND(M5&lt;&gt;"",M5&lt;K5),"CRITICAL",IF(I5="REORDER NOW","HIGH","MEDIUM")))</t>
  </si>
  <si>
    <t xml:space="preserve">CRITICAL when stock will run out before the supplier can deliver (cover &lt; lead time).</t>
  </si>
  <si>
    <t xml:space="preserve">MAX + ROUNDUP</t>
  </si>
  <si>
    <t xml:space="preserve">Inventory_Data!O (Suggested Reorder Qty)</t>
  </si>
  <si>
    <t xml:space="preserve">Compute units to order</t>
  </si>
  <si>
    <t xml:space="preserve">=IF(I5="IN STOCK",0,MAX(0,ROUNDUP(G5*Settings!$B$6,0)-F5))</t>
  </si>
  <si>
    <t xml:space="preserve">Order-up-to level (reorder level x multiple) minus current stock; never negative.</t>
  </si>
  <si>
    <t xml:space="preserve">Arithmetic (*, +)</t>
  </si>
  <si>
    <t xml:space="preserve">Inventory_Data!P,Q,R</t>
  </si>
  <si>
    <t xml:space="preserve">Stock value, reorder cost, expected delivery date</t>
  </si>
  <si>
    <t xml:space="preserve">=F5*H5   |   =Settings!$B$7+K5</t>
  </si>
  <si>
    <t xml:space="preserve">Quantity x price for values; report date + lead time days for the delivery date.</t>
  </si>
  <si>
    <t xml:space="preserve">MAX (date)</t>
  </si>
  <si>
    <t xml:space="preserve">Settings!B7 (Report Date)</t>
  </si>
  <si>
    <t xml:space="preserve">Find the latest inventory date</t>
  </si>
  <si>
    <t xml:space="preserve">=MAX(Inventory_Data!$A$5:$A$104)</t>
  </si>
  <si>
    <t xml:space="preserve">Returns the most recent date in the data; used as "today" for the model.</t>
  </si>
  <si>
    <t xml:space="preserve">ROW</t>
  </si>
  <si>
    <t xml:space="preserve">Inventory_Data!T; Alert_Report!A</t>
  </si>
  <si>
    <t xml:space="preserve">Row number as a unique tiebreaker / counter</t>
  </si>
  <si>
    <t xml:space="preserve">=...+ROW()/10000000</t>
  </si>
  <si>
    <t xml:space="preserve">Adds a tiny unique number so two items with equal scores still get different ranks.</t>
  </si>
  <si>
    <t xml:space="preserve">SUMPRODUCT</t>
  </si>
  <si>
    <t xml:space="preserve">Inventory_Data!U (Alert Rank); Stock_Lookup!B6</t>
  </si>
  <si>
    <t xml:space="preserve">Rank alerts; find a record by two keys (Store + Product)</t>
  </si>
  <si>
    <t xml:space="preserve">=IF(T5&gt;0,SUMPRODUCT(--($T$5:$T$104&gt;T5))+1,"")</t>
  </si>
  <si>
    <t xml:space="preserve">Counts how many items have a higher score, so rank = that count + 1 (1 = most urgent).</t>
  </si>
  <si>
    <t xml:space="preserve">COUNT</t>
  </si>
  <si>
    <t xml:space="preserve">Alert_Report!A and A2</t>
  </si>
  <si>
    <t xml:space="preserve">Count how many alerts exist</t>
  </si>
  <si>
    <t xml:space="preserve">=IF(ROW()-4&lt;=COUNT(Inventory_Data!$U$5:$U$104),ROW()-4,"")</t>
  </si>
  <si>
    <t xml:space="preserve">Only as many report rows are filled as there are alerts; remaining rows stay blank.</t>
  </si>
  <si>
    <t xml:space="preserve">COUNTIFS</t>
  </si>
  <si>
    <t xml:space="preserve">Dashboard KPI cards &amp; breakdown tables</t>
  </si>
  <si>
    <t xml:space="preserve">Count items by status, store, category, region</t>
  </si>
  <si>
    <t xml:space="preserve">=COUNTIFS(Inventory_Data!$B$5:$B$104,$A30,Inventory_Data!$I$5:$I$104,B$29)</t>
  </si>
  <si>
    <t xml:space="preserve">Counts rows meeting all conditions at once.</t>
  </si>
  <si>
    <t xml:space="preserve">SUMIFS</t>
  </si>
  <si>
    <t xml:space="preserve">Dashboard (stock value, order cost, units)</t>
  </si>
  <si>
    <t xml:space="preserve">Add values that meet conditions</t>
  </si>
  <si>
    <t xml:space="preserve">=SUMIFS(Inventory_Data!$Q$5:$Q$104,Inventory_Data!$N$5:$N$104,$H38)</t>
  </si>
  <si>
    <t xml:space="preserve">Totals the reorder cost for one priority level.</t>
  </si>
  <si>
    <t xml:space="preserve">AVERAGEIFS</t>
  </si>
  <si>
    <t xml:space="preserve">Dashboard priority table</t>
  </si>
  <si>
    <t xml:space="preserve">Average days of cover / lead time by priority</t>
  </si>
  <si>
    <t xml:space="preserve">=IFERROR(AVERAGEIFS(Inventory_Data!$M$5:$M$104,Inventory_Data!$N$5:$N$104,$H38),0)</t>
  </si>
  <si>
    <t xml:space="preserve">Averages values only for rows matching the priority.</t>
  </si>
  <si>
    <t xml:space="preserve">Wildcard "*" criteria</t>
  </si>
  <si>
    <t xml:space="preserve">Settings!B10:B11 + Dashboard filters</t>
  </si>
  <si>
    <t xml:space="preserve">Make "All" in a dropdown mean no filter</t>
  </si>
  <si>
    <t xml:space="preserve">=IF(Dashboard!$B$4="All","*",Dashboard!$B$4)</t>
  </si>
  <si>
    <t xml:space="preserve">COUNTIFS treats "*" as match-anything, so choosing All shows every store/category.</t>
  </si>
  <si>
    <t xml:space="preserve">TEXT &amp; concatenation (&amp;)</t>
  </si>
  <si>
    <t xml:space="preserve">Dashboard &amp; Alert_Report subtitles</t>
  </si>
  <si>
    <t xml:space="preserve">Build dynamic text lines</t>
  </si>
  <si>
    <t xml:space="preserve">="Report date: "&amp;TEXT(Settings!$B$7,"dd-mmm-yyyy")</t>
  </si>
  <si>
    <t xml:space="preserve">Joins text with live values and formats dates / numbers.</t>
  </si>
  <si>
    <t xml:space="preserve">Data Validation (dropdown)</t>
  </si>
  <si>
    <t xml:space="preserve">Dashboard!B4,E4; Stock_Lookup!B4,B5</t>
  </si>
  <si>
    <t xml:space="preserve">Restrict inputs to valid lists</t>
  </si>
  <si>
    <t xml:space="preserve">List source: Settings!$E$5:$E$10</t>
  </si>
  <si>
    <t xml:space="preserve">Prevents typing errors; lists come from the Settings sheet.</t>
  </si>
  <si>
    <t xml:space="preserve">Conditional Formatting</t>
  </si>
  <si>
    <t xml:space="preserve">Status, Priority and alert columns on all sheets</t>
  </si>
  <si>
    <t xml:space="preserve">Red / Amber / Green colour alerts</t>
  </si>
  <si>
    <t xml:space="preserve">Cell value = "REORDER NOW" -&gt; red fill</t>
  </si>
  <si>
    <t xml:space="preserve">Colours change automatically whenever the underlying status changes.</t>
  </si>
  <si>
    <t xml:space="preserve">Excel Table</t>
  </si>
  <si>
    <t xml:space="preserve">Inventory_Data (InventoryMaster)</t>
  </si>
  <si>
    <t xml:space="preserve">Filters, banding, easy expansion</t>
  </si>
  <si>
    <t xml:space="preserve">Table range A4:U104</t>
  </si>
  <si>
    <t xml:space="preserve">Header filters allow sorting by status, store, category etc.</t>
  </si>
  <si>
    <t xml:space="preserve">Charts</t>
  </si>
  <si>
    <t xml:space="preserve">Dashboard</t>
  </si>
  <si>
    <t xml:space="preserve">Visualise status by store, category and overall</t>
  </si>
  <si>
    <t xml:space="preserve">Linked to Dashboard breakdown tables</t>
  </si>
  <si>
    <t xml:space="preserve">Charts refresh automatically as formulas recalculate.</t>
  </si>
  <si>
    <t xml:space="preserve">STATUS LOGIC AT A GLANCE</t>
  </si>
  <si>
    <t xml:space="preserve">REORDER NOW  : Current Stock &lt;= Reorder Level</t>
  </si>
  <si>
    <t xml:space="preserve">LOW STOCK     : Reorder Level &lt; Current Stock &lt;= Reorder Level x (1 + Low Stock Buffer %)</t>
  </si>
  <si>
    <t xml:space="preserve">IN STOCK        : Current Stock above the buffer zone</t>
  </si>
  <si>
    <t xml:space="preserve">CRITICAL         : Alert item whose Days of Cover &lt; Supplier Lead Time (will run out before new stock arrives)</t>
  </si>
  <si>
    <t xml:space="preserve">HOW TO UPDATE THE MODEL</t>
  </si>
  <si>
    <t xml:space="preserve">1. Paste new Current Stock / Reorder Level values in Inventory_Data (columns F, G) - all formulas recalculate.</t>
  </si>
  <si>
    <t xml:space="preserve">2. Adjust Low Stock Buffer % or Order-Up-To Multiple on the Settings sheet to tune alert sensitivity.</t>
  </si>
  <si>
    <t xml:space="preserve">3. Edit supplier lead times on the Suppliers sheet; Avg Daily Sales (blue, column L) can be replaced with real sales data.</t>
  </si>
  <si>
    <t xml:space="preserve">4. Open Dashboard for the summary, Alert_Report for the action list, Stock_Lookup to check a single item.</t>
  </si>
</sst>
</file>

<file path=xl/styles.xml><?xml version="1.0" encoding="utf-8"?>
<styleSheet xmlns="http://schemas.openxmlformats.org/spreadsheetml/2006/main">
  <numFmts count="13">
    <numFmt numFmtId="164" formatCode="General"/>
    <numFmt numFmtId="165" formatCode="#,##0"/>
    <numFmt numFmtId="166" formatCode="0.0%"/>
    <numFmt numFmtId="167" formatCode="\₹#,##0"/>
    <numFmt numFmtId="168" formatCode="General"/>
    <numFmt numFmtId="169" formatCode="0.0"/>
    <numFmt numFmtId="170" formatCode="dd\-mmm\-yyyy"/>
    <numFmt numFmtId="171" formatCode="\₹#,##0.00"/>
    <numFmt numFmtId="172" formatCode="0.000"/>
    <numFmt numFmtId="173" formatCode="0"/>
    <numFmt numFmtId="174" formatCode="0\%"/>
    <numFmt numFmtId="175" formatCode="0%"/>
    <numFmt numFmtId="176" formatCode="0.0\x"/>
  </numFmts>
  <fonts count="38">
    <font>
      <sz val="11"/>
      <color theme="1"/>
      <name val="Calibri"/>
      <family val="2"/>
      <charset val="1"/>
    </font>
    <font>
      <sz val="10"/>
      <name val="Arial"/>
      <family val="0"/>
    </font>
    <font>
      <sz val="10"/>
      <name val="Arial"/>
      <family val="0"/>
    </font>
    <font>
      <sz val="10"/>
      <name val="Arial"/>
      <family val="0"/>
    </font>
    <font>
      <b val="true"/>
      <sz val="20"/>
      <color rgb="FFFFFFFF"/>
      <name val="Cambria"/>
      <family val="0"/>
      <charset val="1"/>
    </font>
    <font>
      <i val="true"/>
      <sz val="11"/>
      <color rgb="FF666666"/>
      <name val="Cambria"/>
      <family val="0"/>
      <charset val="1"/>
    </font>
    <font>
      <b val="true"/>
      <sz val="11"/>
      <color rgb="FF17365D"/>
      <name val="Cambria"/>
      <family val="0"/>
      <charset val="1"/>
    </font>
    <font>
      <b val="true"/>
      <sz val="20"/>
      <color rgb="FFFFFFFF"/>
      <name val="Calibri"/>
      <family val="0"/>
      <charset val="1"/>
    </font>
    <font>
      <i val="true"/>
      <sz val="10"/>
      <color rgb="FF666666"/>
      <name val="Calibri"/>
      <family val="0"/>
      <charset val="1"/>
    </font>
    <font>
      <b val="true"/>
      <sz val="11"/>
      <color rgb="FF17365D"/>
      <name val="Calibri"/>
      <family val="0"/>
      <charset val="1"/>
    </font>
    <font>
      <b val="true"/>
      <sz val="11"/>
      <color rgb="FF0000FF"/>
      <name val="Calibri"/>
      <family val="0"/>
      <charset val="1"/>
    </font>
    <font>
      <i val="true"/>
      <sz val="10"/>
      <color rgb="FF595959"/>
      <name val="Calibri"/>
      <family val="0"/>
      <charset val="1"/>
    </font>
    <font>
      <b val="true"/>
      <sz val="10"/>
      <color rgb="FF17365D"/>
      <name val="Calibri"/>
      <family val="0"/>
      <charset val="1"/>
    </font>
    <font>
      <b val="true"/>
      <sz val="10"/>
      <color rgb="FF9C0006"/>
      <name val="Calibri"/>
      <family val="0"/>
      <charset val="1"/>
    </font>
    <font>
      <b val="true"/>
      <sz val="10"/>
      <color rgb="FF9C5700"/>
      <name val="Calibri"/>
      <family val="0"/>
      <charset val="1"/>
    </font>
    <font>
      <b val="true"/>
      <sz val="10"/>
      <color rgb="FF006100"/>
      <name val="Calibri"/>
      <family val="0"/>
      <charset val="1"/>
    </font>
    <font>
      <b val="true"/>
      <sz val="22"/>
      <color rgb="FF17365D"/>
      <name val="Calibri"/>
      <family val="0"/>
      <charset val="1"/>
    </font>
    <font>
      <b val="true"/>
      <sz val="22"/>
      <color rgb="FF9C0006"/>
      <name val="Calibri"/>
      <family val="0"/>
      <charset val="1"/>
    </font>
    <font>
      <b val="true"/>
      <sz val="22"/>
      <color rgb="FF9C5700"/>
      <name val="Calibri"/>
      <family val="0"/>
      <charset val="1"/>
    </font>
    <font>
      <b val="true"/>
      <sz val="22"/>
      <color rgb="FF006100"/>
      <name val="Calibri"/>
      <family val="0"/>
      <charset val="1"/>
    </font>
    <font>
      <i val="true"/>
      <sz val="9"/>
      <color rgb="FF595959"/>
      <name val="Calibri"/>
      <family val="0"/>
      <charset val="1"/>
    </font>
    <font>
      <b val="true"/>
      <sz val="12"/>
      <color rgb="FF17365D"/>
      <name val="Calibri"/>
      <family val="0"/>
      <charset val="1"/>
    </font>
    <font>
      <b val="true"/>
      <sz val="11"/>
      <color rgb="FFFFFFFF"/>
      <name val="Calibri"/>
      <family val="0"/>
      <charset val="1"/>
    </font>
    <font>
      <b val="true"/>
      <sz val="11"/>
      <name val="Calibri"/>
      <family val="0"/>
      <charset val="1"/>
    </font>
    <font>
      <sz val="11"/>
      <name val="Calibri"/>
      <family val="0"/>
      <charset val="1"/>
    </font>
    <font>
      <b val="true"/>
      <sz val="18"/>
      <color rgb="FF000000"/>
      <name val="Calibri"/>
      <family val="2"/>
    </font>
    <font>
      <sz val="10"/>
      <color rgb="FF000000"/>
      <name val="Calibri"/>
      <family val="2"/>
    </font>
    <font>
      <i val="true"/>
      <sz val="10"/>
      <color rgb="FF666666"/>
      <name val="Cambria"/>
      <family val="0"/>
      <charset val="1"/>
    </font>
    <font>
      <b val="true"/>
      <sz val="11"/>
      <color rgb="FFFFFFFF"/>
      <name val="Cambria"/>
      <family val="0"/>
      <charset val="1"/>
    </font>
    <font>
      <sz val="11"/>
      <color rgb="FF0000FF"/>
      <name val="Calibri"/>
      <family val="0"/>
      <charset val="1"/>
    </font>
    <font>
      <sz val="11"/>
      <color rgb="FF7F7F7F"/>
      <name val="Calibri"/>
      <family val="0"/>
      <charset val="1"/>
    </font>
    <font>
      <b val="true"/>
      <sz val="22"/>
      <name val="Calibri"/>
      <family val="0"/>
      <charset val="1"/>
    </font>
    <font>
      <sz val="10"/>
      <color rgb="FF7F7F7F"/>
      <name val="Calibri"/>
      <family val="0"/>
      <charset val="1"/>
    </font>
    <font>
      <sz val="10"/>
      <color rgb="FF595959"/>
      <name val="Calibri"/>
      <family val="0"/>
      <charset val="1"/>
    </font>
    <font>
      <b val="true"/>
      <sz val="18"/>
      <color rgb="FFFFFFFF"/>
      <name val="Cambria"/>
      <family val="0"/>
      <charset val="1"/>
    </font>
    <font>
      <sz val="9"/>
      <name val="Consolas"/>
      <family val="0"/>
      <charset val="1"/>
    </font>
    <font>
      <sz val="10"/>
      <name val="Consolas"/>
      <family val="0"/>
      <charset val="1"/>
    </font>
    <font>
      <sz val="10"/>
      <name val="Calibri"/>
      <family val="0"/>
      <charset val="1"/>
    </font>
  </fonts>
  <fills count="12">
    <fill>
      <patternFill patternType="none"/>
    </fill>
    <fill>
      <patternFill patternType="gray125"/>
    </fill>
    <fill>
      <patternFill patternType="solid">
        <fgColor rgb="FF17365D"/>
        <bgColor rgb="FF404040"/>
      </patternFill>
    </fill>
    <fill>
      <patternFill patternType="solid">
        <fgColor rgb="FFFFFF99"/>
        <bgColor rgb="FFFFEB9C"/>
      </patternFill>
    </fill>
    <fill>
      <patternFill patternType="solid">
        <fgColor rgb="FFDCE6F1"/>
        <bgColor rgb="FFD9E1F2"/>
      </patternFill>
    </fill>
    <fill>
      <patternFill patternType="solid">
        <fgColor rgb="FFFFC7CE"/>
        <bgColor rgb="FFD9D9D9"/>
      </patternFill>
    </fill>
    <fill>
      <patternFill patternType="solid">
        <fgColor rgb="FFFFEB9C"/>
        <bgColor rgb="FFFFFF99"/>
      </patternFill>
    </fill>
    <fill>
      <patternFill patternType="solid">
        <fgColor rgb="FFC6EFCE"/>
        <bgColor rgb="FFDCE6F1"/>
      </patternFill>
    </fill>
    <fill>
      <patternFill patternType="solid">
        <fgColor rgb="FFC55A11"/>
        <bgColor rgb="FF9C5700"/>
      </patternFill>
    </fill>
    <fill>
      <patternFill patternType="solid">
        <fgColor rgb="FF7F7F7F"/>
        <bgColor rgb="FF878787"/>
      </patternFill>
    </fill>
    <fill>
      <patternFill patternType="solid">
        <fgColor rgb="FFF2F2F2"/>
        <bgColor rgb="FFF2F6FA"/>
      </patternFill>
    </fill>
    <fill>
      <patternFill patternType="solid">
        <fgColor rgb="FFF2F6FA"/>
        <bgColor rgb="FFF2F2F2"/>
      </patternFill>
    </fill>
  </fills>
  <borders count="5">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medium">
        <color rgb="FFFFFFFF"/>
      </left>
      <right style="medium">
        <color rgb="FFFFFFFF"/>
      </right>
      <top/>
      <bottom/>
      <diagonal/>
    </border>
    <border diagonalUp="false" diagonalDown="false">
      <left/>
      <right/>
      <top/>
      <bottom style="thin">
        <color rgb="FFD9E1F2"/>
      </bottom>
      <diagonal/>
    </border>
    <border diagonalUp="false" diagonalDown="false">
      <left/>
      <right/>
      <top/>
      <bottom style="hair">
        <color rgb="FFE7E6E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7" fillId="2" borderId="0" xfId="0" applyFont="true" applyBorder="true" applyAlignment="true" applyProtection="false">
      <alignment horizontal="left" vertical="center" textRotation="0" wrapText="false" indent="1" shrinkToFit="false"/>
      <protection locked="true" hidden="false"/>
    </xf>
    <xf numFmtId="164" fontId="8" fillId="0" borderId="0" xfId="0" applyFont="true" applyBorder="true" applyAlignment="true" applyProtection="false">
      <alignment horizontal="left" vertical="bottom" textRotation="0" wrapText="false" indent="1" shrinkToFit="false"/>
      <protection locked="true" hidden="false"/>
    </xf>
    <xf numFmtId="164" fontId="9" fillId="0" borderId="0" xfId="0" applyFont="true" applyBorder="false" applyAlignment="true" applyProtection="false">
      <alignment horizontal="right" vertical="center" textRotation="0" wrapText="fals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4" borderId="2" xfId="0" applyFont="true" applyBorder="true" applyAlignment="true" applyProtection="false">
      <alignment horizontal="center" vertical="center" textRotation="0" wrapText="true" indent="0" shrinkToFit="false"/>
      <protection locked="true" hidden="false"/>
    </xf>
    <xf numFmtId="164" fontId="13" fillId="5" borderId="2" xfId="0" applyFont="true" applyBorder="true" applyAlignment="true" applyProtection="false">
      <alignment horizontal="center" vertical="center" textRotation="0" wrapText="true" indent="0" shrinkToFit="false"/>
      <protection locked="true" hidden="false"/>
    </xf>
    <xf numFmtId="164" fontId="14" fillId="6" borderId="2" xfId="0" applyFont="true" applyBorder="true" applyAlignment="true" applyProtection="false">
      <alignment horizontal="center" vertical="center" textRotation="0" wrapText="true" indent="0" shrinkToFit="false"/>
      <protection locked="true" hidden="false"/>
    </xf>
    <xf numFmtId="164" fontId="15" fillId="7" borderId="2" xfId="0" applyFont="true" applyBorder="true" applyAlignment="true" applyProtection="false">
      <alignment horizontal="center" vertical="center" textRotation="0" wrapText="true" indent="0" shrinkToFit="false"/>
      <protection locked="true" hidden="false"/>
    </xf>
    <xf numFmtId="165" fontId="16" fillId="4" borderId="2" xfId="0" applyFont="true" applyBorder="true" applyAlignment="true" applyProtection="false">
      <alignment horizontal="center" vertical="center" textRotation="0" wrapText="true" indent="0" shrinkToFit="false"/>
      <protection locked="true" hidden="false"/>
    </xf>
    <xf numFmtId="165" fontId="17" fillId="5" borderId="2" xfId="0" applyFont="true" applyBorder="true" applyAlignment="true" applyProtection="false">
      <alignment horizontal="center" vertical="center" textRotation="0" wrapText="true" indent="0" shrinkToFit="false"/>
      <protection locked="true" hidden="false"/>
    </xf>
    <xf numFmtId="165" fontId="18" fillId="6" borderId="2" xfId="0" applyFont="true" applyBorder="true" applyAlignment="true" applyProtection="false">
      <alignment horizontal="center" vertical="center" textRotation="0" wrapText="true" indent="0" shrinkToFit="false"/>
      <protection locked="true" hidden="false"/>
    </xf>
    <xf numFmtId="165" fontId="19" fillId="7" borderId="2" xfId="0" applyFont="true" applyBorder="true" applyAlignment="true" applyProtection="false">
      <alignment horizontal="center" vertical="center" textRotation="0" wrapText="true" indent="0" shrinkToFit="false"/>
      <protection locked="true" hidden="false"/>
    </xf>
    <xf numFmtId="166" fontId="16" fillId="4" borderId="2" xfId="0" applyFont="true" applyBorder="true" applyAlignment="true" applyProtection="false">
      <alignment horizontal="center" vertical="center" textRotation="0" wrapText="true" indent="0" shrinkToFit="false"/>
      <protection locked="true" hidden="false"/>
    </xf>
    <xf numFmtId="167" fontId="16" fillId="4" borderId="2" xfId="0" applyFont="true" applyBorder="true" applyAlignment="true" applyProtection="false">
      <alignment horizontal="center" vertical="center" textRotation="0" wrapText="true" indent="0" shrinkToFit="false"/>
      <protection locked="true" hidden="false"/>
    </xf>
    <xf numFmtId="167" fontId="18" fillId="6" borderId="2" xfId="0" applyFont="true" applyBorder="true" applyAlignment="true" applyProtection="false">
      <alignment horizontal="center" vertical="center" textRotation="0" wrapText="tru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21" fillId="4" borderId="0" xfId="0" applyFont="true" applyBorder="true" applyAlignment="true" applyProtection="false">
      <alignment horizontal="left" vertical="center" textRotation="0" wrapText="false" indent="1" shrinkToFit="false"/>
      <protection locked="true" hidden="false"/>
    </xf>
    <xf numFmtId="164" fontId="22" fillId="2" borderId="1" xfId="0" applyFont="true" applyBorder="true" applyAlignment="true" applyProtection="false">
      <alignment horizontal="center" vertical="center" textRotation="0" wrapText="true" indent="0" shrinkToFit="false"/>
      <protection locked="true" hidden="false"/>
    </xf>
    <xf numFmtId="164" fontId="23" fillId="0" borderId="1" xfId="0" applyFont="true" applyBorder="true" applyAlignment="true" applyProtection="false">
      <alignment horizontal="left" vertical="bottom" textRotation="0" wrapText="false" indent="1" shrinkToFit="false"/>
      <protection locked="true" hidden="false"/>
    </xf>
    <xf numFmtId="168" fontId="24" fillId="0" borderId="1" xfId="0" applyFont="true" applyBorder="true" applyAlignment="true" applyProtection="false">
      <alignment horizontal="center" vertical="center" textRotation="0" wrapText="true" indent="0" shrinkToFit="false"/>
      <protection locked="true" hidden="false"/>
    </xf>
    <xf numFmtId="166" fontId="24" fillId="0" borderId="1" xfId="0" applyFont="true" applyBorder="true" applyAlignment="true" applyProtection="false">
      <alignment horizontal="center" vertical="center" textRotation="0" wrapText="true" indent="0" shrinkToFit="false"/>
      <protection locked="true" hidden="false"/>
    </xf>
    <xf numFmtId="164" fontId="23" fillId="4" borderId="1" xfId="0" applyFont="true" applyBorder="true" applyAlignment="true" applyProtection="false">
      <alignment horizontal="left" vertical="bottom" textRotation="0" wrapText="false" indent="1" shrinkToFit="false"/>
      <protection locked="true" hidden="false"/>
    </xf>
    <xf numFmtId="168" fontId="23" fillId="4" borderId="1" xfId="0" applyFont="true" applyBorder="true" applyAlignment="true" applyProtection="false">
      <alignment horizontal="center" vertical="center" textRotation="0" wrapText="true" indent="0" shrinkToFit="false"/>
      <protection locked="true" hidden="false"/>
    </xf>
    <xf numFmtId="166" fontId="23" fillId="4" borderId="1" xfId="0" applyFont="true" applyBorder="true" applyAlignment="true" applyProtection="false">
      <alignment horizontal="center" vertical="center" textRotation="0" wrapText="true" indent="0" shrinkToFit="false"/>
      <protection locked="true" hidden="false"/>
    </xf>
    <xf numFmtId="167" fontId="24" fillId="0" borderId="1" xfId="0" applyFont="true" applyBorder="true" applyAlignment="true" applyProtection="false">
      <alignment horizontal="center" vertical="center" textRotation="0" wrapText="true" indent="0" shrinkToFit="false"/>
      <protection locked="true" hidden="false"/>
    </xf>
    <xf numFmtId="169" fontId="24" fillId="0" borderId="1" xfId="0" applyFont="true" applyBorder="true" applyAlignment="true" applyProtection="false">
      <alignment horizontal="center" vertical="center" textRotation="0" wrapText="true" indent="0" shrinkToFit="false"/>
      <protection locked="true" hidden="false"/>
    </xf>
    <xf numFmtId="167" fontId="23" fillId="4" borderId="1" xfId="0" applyFont="true" applyBorder="true" applyAlignment="true" applyProtection="false">
      <alignment horizontal="center" vertical="center" textRotation="0" wrapText="true" indent="0" shrinkToFit="false"/>
      <protection locked="true" hidden="false"/>
    </xf>
    <xf numFmtId="169" fontId="23" fillId="4" borderId="1" xfId="0" applyFont="true" applyBorder="true" applyAlignment="true" applyProtection="false">
      <alignment horizontal="center" vertical="center" textRotation="0" wrapText="true" indent="0" shrinkToFit="false"/>
      <protection locked="true" hidden="false"/>
    </xf>
    <xf numFmtId="164" fontId="23" fillId="0" borderId="1" xfId="0" applyFont="true" applyBorder="true" applyAlignment="true" applyProtection="false">
      <alignment horizontal="center" vertical="center" textRotation="0" wrapText="true" indent="0" shrinkToFit="false"/>
      <protection locked="true" hidden="false"/>
    </xf>
    <xf numFmtId="164" fontId="24" fillId="0" borderId="1" xfId="0" applyFont="true" applyBorder="true" applyAlignment="true" applyProtection="false">
      <alignment horizontal="center" vertical="center" textRotation="0" wrapText="true" indent="0" shrinkToFit="false"/>
      <protection locked="true" hidden="false"/>
    </xf>
    <xf numFmtId="164" fontId="24" fillId="0" borderId="1" xfId="0" applyFont="true" applyBorder="true" applyAlignment="true" applyProtection="false">
      <alignment horizontal="left" vertical="center" textRotation="0" wrapText="tru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27" fillId="0" borderId="0" xfId="0" applyFont="true" applyBorder="true" applyAlignment="false" applyProtection="false">
      <alignment horizontal="general" vertical="bottom" textRotation="0" wrapText="false" indent="0" shrinkToFit="false"/>
      <protection locked="true" hidden="false"/>
    </xf>
    <xf numFmtId="164" fontId="28" fillId="2" borderId="3" xfId="0" applyFont="true" applyBorder="true" applyAlignment="true" applyProtection="false">
      <alignment horizontal="center" vertical="center" textRotation="0" wrapText="true" indent="0" shrinkToFit="false"/>
      <protection locked="true" hidden="false"/>
    </xf>
    <xf numFmtId="164" fontId="28" fillId="2" borderId="0" xfId="0" applyFont="true" applyBorder="false" applyAlignment="true" applyProtection="false">
      <alignment horizontal="center" vertical="center" textRotation="0" wrapText="true" indent="0" shrinkToFit="false"/>
      <protection locked="true" hidden="false"/>
    </xf>
    <xf numFmtId="164" fontId="28" fillId="8" borderId="0" xfId="0" applyFont="true" applyBorder="false" applyAlignment="true" applyProtection="false">
      <alignment horizontal="center" vertical="center" textRotation="0" wrapText="true" indent="0" shrinkToFit="false"/>
      <protection locked="true" hidden="false"/>
    </xf>
    <xf numFmtId="164" fontId="28" fillId="9" borderId="0" xfId="0" applyFont="true" applyBorder="false" applyAlignment="true" applyProtection="false">
      <alignment horizontal="center" vertical="center" textRotation="0" wrapText="true" indent="0" shrinkToFit="false"/>
      <protection locked="true" hidden="false"/>
    </xf>
    <xf numFmtId="170" fontId="24" fillId="0" borderId="4" xfId="0" applyFont="true" applyBorder="true" applyAlignment="false" applyProtection="false">
      <alignment horizontal="general" vertical="bottom" textRotation="0" wrapText="false" indent="0" shrinkToFit="false"/>
      <protection locked="true" hidden="false"/>
    </xf>
    <xf numFmtId="164" fontId="24" fillId="0" borderId="4" xfId="0" applyFont="true" applyBorder="true" applyAlignment="false" applyProtection="false">
      <alignment horizontal="general" vertical="bottom" textRotation="0" wrapText="false" indent="0" shrinkToFit="false"/>
      <protection locked="true" hidden="false"/>
    </xf>
    <xf numFmtId="164" fontId="24" fillId="0" borderId="4" xfId="0" applyFont="true" applyBorder="true" applyAlignment="true" applyProtection="false">
      <alignment horizontal="center" vertical="bottom" textRotation="0" wrapText="false" indent="0" shrinkToFit="false"/>
      <protection locked="true" hidden="false"/>
    </xf>
    <xf numFmtId="171" fontId="24" fillId="0" borderId="4" xfId="0" applyFont="true" applyBorder="true" applyAlignment="false" applyProtection="false">
      <alignment horizontal="general" vertical="bottom" textRotation="0" wrapText="false" indent="0" shrinkToFit="false"/>
      <protection locked="true" hidden="false"/>
    </xf>
    <xf numFmtId="164" fontId="23" fillId="0" borderId="4" xfId="0" applyFont="true" applyBorder="true" applyAlignment="true" applyProtection="false">
      <alignment horizontal="center"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8" fontId="24" fillId="0" borderId="0" xfId="0" applyFont="true" applyBorder="false" applyAlignment="true" applyProtection="false">
      <alignment horizontal="center" vertical="bottom" textRotation="0" wrapText="false" indent="0" shrinkToFit="false"/>
      <protection locked="true" hidden="false"/>
    </xf>
    <xf numFmtId="169" fontId="29" fillId="0" borderId="0" xfId="0" applyFont="true" applyBorder="false" applyAlignment="true" applyProtection="false">
      <alignment horizontal="center" vertical="bottom" textRotation="0" wrapText="false" indent="0" shrinkToFit="false"/>
      <protection locked="true" hidden="false"/>
    </xf>
    <xf numFmtId="169" fontId="24" fillId="0" borderId="0" xfId="0" applyFont="true" applyBorder="false" applyAlignment="true" applyProtection="false">
      <alignment horizontal="center" vertical="bottom" textRotation="0" wrapText="false" indent="0" shrinkToFit="false"/>
      <protection locked="true" hidden="false"/>
    </xf>
    <xf numFmtId="164" fontId="24" fillId="0" borderId="0" xfId="0" applyFont="true" applyBorder="false" applyAlignment="true" applyProtection="false">
      <alignment horizontal="center" vertical="bottom" textRotation="0" wrapText="false" indent="0" shrinkToFit="false"/>
      <protection locked="true" hidden="false"/>
    </xf>
    <xf numFmtId="167" fontId="24" fillId="0" borderId="0" xfId="0" applyFont="true" applyBorder="false" applyAlignment="true" applyProtection="false">
      <alignment horizontal="center" vertical="bottom" textRotation="0" wrapText="false" indent="0" shrinkToFit="false"/>
      <protection locked="true" hidden="false"/>
    </xf>
    <xf numFmtId="170" fontId="24" fillId="0" borderId="0" xfId="0" applyFont="true" applyBorder="false" applyAlignment="true" applyProtection="false">
      <alignment horizontal="center" vertical="bottom" textRotation="0" wrapText="false" indent="0" shrinkToFit="false"/>
      <protection locked="true" hidden="false"/>
    </xf>
    <xf numFmtId="172" fontId="30" fillId="0" borderId="0" xfId="0" applyFont="true" applyBorder="false" applyAlignment="false" applyProtection="false">
      <alignment horizontal="general" vertical="bottom" textRotation="0" wrapText="false" indent="0" shrinkToFit="false"/>
      <protection locked="true" hidden="false"/>
    </xf>
    <xf numFmtId="164" fontId="30" fillId="0" borderId="0" xfId="0" applyFont="true" applyBorder="false" applyAlignment="true" applyProtection="false">
      <alignment horizontal="center" vertical="bottom" textRotation="0" wrapText="false" indent="0" shrinkToFit="false"/>
      <protection locked="true" hidden="false"/>
    </xf>
    <xf numFmtId="168" fontId="23" fillId="0" borderId="0" xfId="0" applyFont="true" applyBorder="false" applyAlignment="true" applyProtection="false">
      <alignment horizontal="center" vertical="center" textRotation="0" wrapText="true" indent="0" shrinkToFit="false"/>
      <protection locked="true" hidden="false"/>
    </xf>
    <xf numFmtId="164" fontId="24" fillId="0" borderId="0" xfId="0" applyFont="true" applyBorder="false" applyAlignment="true" applyProtection="false">
      <alignment horizontal="center" vertical="center" textRotation="0" wrapText="true" indent="0" shrinkToFit="false"/>
      <protection locked="true" hidden="false"/>
    </xf>
    <xf numFmtId="164" fontId="23" fillId="0" borderId="0" xfId="0" applyFont="true" applyBorder="false" applyAlignment="true" applyProtection="false">
      <alignment horizontal="center" vertical="center" textRotation="0" wrapText="true" indent="0" shrinkToFit="false"/>
      <protection locked="true" hidden="false"/>
    </xf>
    <xf numFmtId="169" fontId="24" fillId="0" borderId="0" xfId="0" applyFont="true" applyBorder="false" applyAlignment="true" applyProtection="false">
      <alignment horizontal="center" vertical="center" textRotation="0" wrapText="true" indent="0" shrinkToFit="false"/>
      <protection locked="true" hidden="false"/>
    </xf>
    <xf numFmtId="164" fontId="24" fillId="0" borderId="0" xfId="0" applyFont="true" applyBorder="false" applyAlignment="true" applyProtection="false">
      <alignment horizontal="left" vertical="center" textRotation="0" wrapText="true" indent="0" shrinkToFit="false"/>
      <protection locked="true" hidden="false"/>
    </xf>
    <xf numFmtId="167" fontId="24" fillId="0" borderId="0" xfId="0" applyFont="true" applyBorder="false" applyAlignment="true" applyProtection="false">
      <alignment horizontal="center" vertical="center" textRotation="0" wrapText="true" indent="0" shrinkToFit="false"/>
      <protection locked="true" hidden="false"/>
    </xf>
    <xf numFmtId="170" fontId="24" fillId="0" borderId="0" xfId="0" applyFont="true" applyBorder="false" applyAlignment="true" applyProtection="false">
      <alignment horizontal="center" vertical="center" textRotation="0" wrapText="true" indent="0" shrinkToFit="false"/>
      <protection locked="true" hidden="false"/>
    </xf>
    <xf numFmtId="164" fontId="8" fillId="0" borderId="0" xfId="0" applyFont="true" applyBorder="true" applyAlignment="true" applyProtection="false">
      <alignment horizontal="left" vertical="center" textRotation="0" wrapText="false" indent="1"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31" fillId="0" borderId="0" xfId="0" applyFont="true" applyBorder="true" applyAlignment="true" applyProtection="false">
      <alignment horizontal="center" vertical="center" textRotation="0" wrapText="true" indent="0" shrinkToFit="false"/>
      <protection locked="true" hidden="false"/>
    </xf>
    <xf numFmtId="164" fontId="32" fillId="0" borderId="0" xfId="0" applyFont="true" applyBorder="false" applyAlignment="false" applyProtection="false">
      <alignment horizontal="general" vertical="bottom" textRotation="0" wrapText="false" indent="0" shrinkToFit="false"/>
      <protection locked="true" hidden="false"/>
    </xf>
    <xf numFmtId="168" fontId="32" fillId="0" borderId="0" xfId="0" applyFont="true" applyBorder="false" applyAlignment="true" applyProtection="false">
      <alignment horizontal="center" vertical="center" textRotation="0" wrapText="true" indent="0" shrinkToFit="false"/>
      <protection locked="true" hidden="false"/>
    </xf>
    <xf numFmtId="164" fontId="23" fillId="10" borderId="1" xfId="0" applyFont="true" applyBorder="true" applyAlignment="false" applyProtection="false">
      <alignment horizontal="general" vertical="bottom" textRotation="0" wrapText="false" indent="0" shrinkToFit="false"/>
      <protection locked="true" hidden="false"/>
    </xf>
    <xf numFmtId="165" fontId="24" fillId="0" borderId="1" xfId="0" applyFont="true" applyBorder="true" applyAlignment="true" applyProtection="false">
      <alignment horizontal="center" vertical="center" textRotation="0" wrapText="true" indent="0" shrinkToFit="false"/>
      <protection locked="true" hidden="false"/>
    </xf>
    <xf numFmtId="171" fontId="24" fillId="0" borderId="1" xfId="0" applyFont="true" applyBorder="true" applyAlignment="true" applyProtection="false">
      <alignment horizontal="center" vertical="center" textRotation="0" wrapText="true" indent="0" shrinkToFit="false"/>
      <protection locked="true" hidden="false"/>
    </xf>
    <xf numFmtId="173" fontId="24" fillId="0" borderId="1" xfId="0" applyFont="true" applyBorder="true" applyAlignment="true" applyProtection="false">
      <alignment horizontal="center" vertical="center" textRotation="0" wrapText="true" indent="0" shrinkToFit="false"/>
      <protection locked="true" hidden="false"/>
    </xf>
    <xf numFmtId="170" fontId="24" fillId="0" borderId="1" xfId="0" applyFont="true" applyBorder="true" applyAlignment="true" applyProtection="false">
      <alignment horizontal="center" vertical="center" textRotation="0" wrapText="true" indent="0" shrinkToFit="false"/>
      <protection locked="true" hidden="false"/>
    </xf>
    <xf numFmtId="164" fontId="29" fillId="0" borderId="1" xfId="0" applyFont="true" applyBorder="true" applyAlignment="true" applyProtection="false">
      <alignment horizontal="center" vertical="center" textRotation="0" wrapText="true" indent="0" shrinkToFit="false"/>
      <protection locked="true" hidden="false"/>
    </xf>
    <xf numFmtId="174" fontId="29" fillId="0" borderId="1" xfId="0" applyFont="true" applyBorder="true" applyAlignment="true" applyProtection="false">
      <alignment horizontal="center" vertical="center" textRotation="0" wrapText="true" indent="0" shrinkToFit="false"/>
      <protection locked="true" hidden="false"/>
    </xf>
    <xf numFmtId="164" fontId="23" fillId="0" borderId="1" xfId="0" applyFont="true" applyBorder="true" applyAlignment="false" applyProtection="false">
      <alignment horizontal="general" vertical="bottom" textRotation="0" wrapText="false" indent="0" shrinkToFit="false"/>
      <protection locked="true" hidden="false"/>
    </xf>
    <xf numFmtId="175" fontId="10" fillId="3" borderId="1" xfId="0" applyFont="true" applyBorder="true" applyAlignment="true" applyProtection="false">
      <alignment horizontal="center" vertical="center" textRotation="0" wrapText="true" indent="0" shrinkToFit="false"/>
      <protection locked="true" hidden="false"/>
    </xf>
    <xf numFmtId="164" fontId="33" fillId="0" borderId="1" xfId="0" applyFont="true" applyBorder="true" applyAlignment="true" applyProtection="false">
      <alignment horizontal="left" vertical="center" textRotation="0" wrapText="true" indent="0" shrinkToFit="false"/>
      <protection locked="true" hidden="false"/>
    </xf>
    <xf numFmtId="176" fontId="10" fillId="3" borderId="1" xfId="0" applyFont="true" applyBorder="true" applyAlignment="true" applyProtection="false">
      <alignment horizontal="center" vertical="center" textRotation="0" wrapText="true" indent="0" shrinkToFit="false"/>
      <protection locked="true" hidden="false"/>
    </xf>
    <xf numFmtId="170" fontId="23" fillId="0" borderId="1" xfId="0" applyFont="true" applyBorder="true" applyAlignment="true" applyProtection="false">
      <alignment horizontal="center" vertical="center" textRotation="0" wrapText="true" indent="0" shrinkToFit="false"/>
      <protection locked="true" hidden="false"/>
    </xf>
    <xf numFmtId="164" fontId="24" fillId="0" borderId="1" xfId="0" applyFont="true" applyBorder="true" applyAlignment="false" applyProtection="false">
      <alignment horizontal="general" vertical="bottom" textRotation="0" wrapText="false" indent="0" shrinkToFit="false"/>
      <protection locked="true" hidden="false"/>
    </xf>
    <xf numFmtId="164" fontId="33" fillId="0" borderId="0" xfId="0" applyFont="true" applyBorder="false" applyAlignment="false" applyProtection="false">
      <alignment horizontal="general" vertical="bottom" textRotation="0" wrapText="false" indent="0" shrinkToFit="false"/>
      <protection locked="true" hidden="false"/>
    </xf>
    <xf numFmtId="164" fontId="34" fillId="2" borderId="0" xfId="0" applyFont="true" applyBorder="true" applyAlignment="false" applyProtection="false">
      <alignment horizontal="general" vertical="bottom" textRotation="0" wrapText="false" indent="0" shrinkToFit="false"/>
      <protection locked="true" hidden="false"/>
    </xf>
    <xf numFmtId="164" fontId="28" fillId="2" borderId="0" xfId="0" applyFont="true" applyBorder="false" applyAlignment="true" applyProtection="false">
      <alignment horizontal="center" vertical="bottom" textRotation="0" wrapText="false" indent="0" shrinkToFit="false"/>
      <protection locked="true" hidden="false"/>
    </xf>
    <xf numFmtId="164" fontId="0" fillId="0" borderId="3" xfId="0" applyFont="true" applyBorder="true" applyAlignment="true" applyProtection="false">
      <alignment horizontal="general" vertical="top" textRotation="0" wrapText="true" indent="0" shrinkToFit="false"/>
      <protection locked="true" hidden="false"/>
    </xf>
    <xf numFmtId="164" fontId="24" fillId="0" borderId="1" xfId="0" applyFont="true" applyBorder="true" applyAlignment="true" applyProtection="false">
      <alignment horizontal="center" vertical="top" textRotation="0" wrapText="true" indent="0" shrinkToFit="false"/>
      <protection locked="true" hidden="false"/>
    </xf>
    <xf numFmtId="164" fontId="23" fillId="0" borderId="1" xfId="0" applyFont="true" applyBorder="true" applyAlignment="true" applyProtection="false">
      <alignment horizontal="left" vertical="top" textRotation="0" wrapText="true" indent="0" shrinkToFit="false"/>
      <protection locked="true" hidden="false"/>
    </xf>
    <xf numFmtId="164" fontId="24" fillId="0" borderId="1" xfId="0" applyFont="true" applyBorder="true" applyAlignment="true" applyProtection="false">
      <alignment horizontal="left" vertical="top" textRotation="0" wrapText="true" indent="0" shrinkToFit="false"/>
      <protection locked="true" hidden="false"/>
    </xf>
    <xf numFmtId="164" fontId="35" fillId="0" borderId="1" xfId="0" applyFont="true" applyBorder="true" applyAlignment="true" applyProtection="false">
      <alignment horizontal="left" vertical="top" textRotation="0" wrapText="true" indent="0" shrinkToFit="false"/>
      <protection locked="true" hidden="false"/>
    </xf>
    <xf numFmtId="164" fontId="24" fillId="11" borderId="1" xfId="0" applyFont="true" applyBorder="true" applyAlignment="true" applyProtection="false">
      <alignment horizontal="center" vertical="top" textRotation="0" wrapText="true" indent="0" shrinkToFit="false"/>
      <protection locked="true" hidden="false"/>
    </xf>
    <xf numFmtId="164" fontId="23" fillId="11" borderId="1" xfId="0" applyFont="true" applyBorder="true" applyAlignment="true" applyProtection="false">
      <alignment horizontal="left" vertical="top" textRotation="0" wrapText="true" indent="0" shrinkToFit="false"/>
      <protection locked="true" hidden="false"/>
    </xf>
    <xf numFmtId="164" fontId="24" fillId="11" borderId="1" xfId="0" applyFont="true" applyBorder="true" applyAlignment="true" applyProtection="false">
      <alignment horizontal="left" vertical="top" textRotation="0" wrapText="true" indent="0" shrinkToFit="false"/>
      <protection locked="true" hidden="false"/>
    </xf>
    <xf numFmtId="164" fontId="35" fillId="11" borderId="1" xfId="0" applyFont="true" applyBorder="true" applyAlignment="true" applyProtection="false">
      <alignment horizontal="left" vertical="top" textRotation="0" wrapText="true" indent="0" shrinkToFit="false"/>
      <protection locked="true" hidden="false"/>
    </xf>
    <xf numFmtId="164" fontId="36" fillId="0" borderId="0" xfId="0" applyFont="true" applyBorder="true" applyAlignment="false" applyProtection="false">
      <alignment horizontal="general" vertical="bottom" textRotation="0" wrapText="false" indent="0" shrinkToFit="false"/>
      <protection locked="true" hidden="false"/>
    </xf>
    <xf numFmtId="164" fontId="37"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9">
    <dxf>
      <font>
        <b val="1"/>
        <color rgb="FFFFFFFF"/>
      </font>
      <fill>
        <patternFill>
          <bgColor rgb="FFC00000"/>
        </patternFill>
      </fill>
    </dxf>
    <dxf>
      <font>
        <b val="1"/>
        <color rgb="FF9C0006"/>
      </font>
      <fill>
        <patternFill>
          <bgColor rgb="FFFFC7CE"/>
        </patternFill>
      </fill>
    </dxf>
    <dxf>
      <font>
        <b val="1"/>
        <color rgb="FF9C5700"/>
      </font>
      <fill>
        <patternFill>
          <bgColor rgb="FFFFEB9C"/>
        </patternFill>
      </fill>
    </dxf>
    <dxf>
      <font>
        <b val="1"/>
        <color rgb="FF006100"/>
      </font>
      <fill>
        <patternFill>
          <bgColor rgb="FFC6EFCE"/>
        </patternFill>
      </fill>
    </dxf>
    <dxf>
      <fill>
        <patternFill patternType="solid">
          <fgColor rgb="FF17365D"/>
          <bgColor rgb="FF000000"/>
        </patternFill>
      </fill>
    </dxf>
    <dxf>
      <fill>
        <patternFill patternType="solid">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FFEB9C"/>
          <bgColor rgb="FF000000"/>
        </patternFill>
      </fill>
    </dxf>
    <dxf>
      <fill>
        <patternFill patternType="solid">
          <fgColor rgb="FF006100"/>
          <bgColor rgb="FF000000"/>
        </patternFill>
      </fill>
    </dxf>
    <dxf>
      <fill>
        <patternFill patternType="solid">
          <fgColor rgb="FF9C0006"/>
          <bgColor rgb="FF000000"/>
        </patternFill>
      </fill>
    </dxf>
    <dxf>
      <fill>
        <patternFill patternType="solid">
          <fgColor rgb="FF9C5700"/>
          <bgColor rgb="FF000000"/>
        </patternFill>
      </fill>
    </dxf>
    <dxf>
      <fill>
        <patternFill patternType="solid">
          <fgColor rgb="FFC55A11"/>
          <bgColor rgb="FF000000"/>
        </patternFill>
      </fill>
    </dxf>
    <dxf>
      <fill>
        <patternFill patternType="solid">
          <fgColor rgb="FF0000FF"/>
          <bgColor rgb="FF000000"/>
        </patternFill>
      </fill>
    </dxf>
    <dxf>
      <fill>
        <patternFill patternType="solid">
          <fgColor rgb="FFC00000"/>
          <bgColor rgb="FF000000"/>
        </patternFill>
      </fill>
    </dxf>
    <dxf>
      <fill>
        <patternFill patternType="solid">
          <fgColor rgb="FF7F7F7F"/>
          <bgColor rgb="FF000000"/>
        </patternFill>
      </fill>
    </dxf>
    <dxf>
      <border diagonalUp="false" diagonalDown="false">
        <left style="thin">
          <color rgb="FFBFBFBF"/>
        </left>
        <right style="thin">
          <color rgb="FFBFBFBF"/>
        </right>
        <top style="thin">
          <color rgb="FFBFBFBF"/>
        </top>
        <bottom style="thin">
          <color rgb="FFBFBFBF"/>
        </bottom>
        <diagonal/>
      </border>
    </dxf>
    <dxf>
      <font>
        <b val="1"/>
        <color rgb="FF404040"/>
      </font>
      <fill>
        <patternFill>
          <bgColor rgb="FFD9D9D9"/>
        </patternFill>
      </fill>
    </dxf>
  </dxfs>
  <colors>
    <indexedColors>
      <rgbColor rgb="FF000000"/>
      <rgbColor rgb="FFFFFFFF"/>
      <rgbColor rgb="FFC00000"/>
      <rgbColor rgb="FF00FF00"/>
      <rgbColor rgb="FF0000FF"/>
      <rgbColor rgb="FFFFEB9C"/>
      <rgbColor rgb="FFFF00FF"/>
      <rgbColor rgb="FF00FFFF"/>
      <rgbColor rgb="FF9C0006"/>
      <rgbColor rgb="FF006100"/>
      <rgbColor rgb="FF000080"/>
      <rgbColor rgb="FF808000"/>
      <rgbColor rgb="FF800080"/>
      <rgbColor rgb="FF008080"/>
      <rgbColor rgb="FFBFBFBF"/>
      <rgbColor rgb="FF7F7F7F"/>
      <rgbColor rgb="FF9999FF"/>
      <rgbColor rgb="FFC55A11"/>
      <rgbColor rgb="FFF2F2F2"/>
      <rgbColor rgb="FFDCE6F1"/>
      <rgbColor rgb="FF660066"/>
      <rgbColor rgb="FFFF8080"/>
      <rgbColor rgb="FF0066CC"/>
      <rgbColor rgb="FFD9D9D9"/>
      <rgbColor rgb="FF000080"/>
      <rgbColor rgb="FFFF00FF"/>
      <rgbColor rgb="FFFFFF00"/>
      <rgbColor rgb="FF00FFFF"/>
      <rgbColor rgb="FF800080"/>
      <rgbColor rgb="FF800000"/>
      <rgbColor rgb="FF008080"/>
      <rgbColor rgb="FF0000FF"/>
      <rgbColor rgb="FF00B0A0"/>
      <rgbColor rgb="FFF2F6FA"/>
      <rgbColor rgb="FFC6EFCE"/>
      <rgbColor rgb="FFFFFF99"/>
      <rgbColor rgb="FFD9E1F2"/>
      <rgbColor rgb="FFE7E6E6"/>
      <rgbColor rgb="FFCC99FF"/>
      <rgbColor rgb="FFFFC7CE"/>
      <rgbColor rgb="FF2E75B6"/>
      <rgbColor rgb="FF33CCCC"/>
      <rgbColor rgb="FF70AD47"/>
      <rgbColor rgb="FFFFC000"/>
      <rgbColor rgb="FFFF9900"/>
      <rgbColor rgb="FFED7D31"/>
      <rgbColor rgb="FF666666"/>
      <rgbColor rgb="FF878787"/>
      <rgbColor rgb="FF17365D"/>
      <rgbColor rgb="FF4F81BD"/>
      <rgbColor rgb="FF003300"/>
      <rgbColor rgb="FF333300"/>
      <rgbColor rgb="FF9C5700"/>
      <rgbColor rgb="FF993366"/>
      <rgbColor rgb="FF59595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Stock Status by Store</a:t>
            </a:r>
          </a:p>
        </c:rich>
      </c:tx>
      <c:overlay val="0"/>
      <c:spPr>
        <a:noFill/>
        <a:ln w="0">
          <a:noFill/>
        </a:ln>
      </c:spPr>
    </c:title>
    <c:autoTitleDeleted val="0"/>
    <c:plotArea>
      <c:barChart>
        <c:barDir val="col"/>
        <c:grouping val="stacked"/>
        <c:varyColors val="0"/>
        <c:ser>
          <c:idx val="0"/>
          <c:order val="0"/>
          <c:tx>
            <c:strRef>
              <c:f>Dashboard!B29</c:f>
              <c:strCache>
                <c:ptCount val="1"/>
                <c:pt idx="0">
                  <c:v>REORDER NOW</c:v>
                </c:pt>
              </c:strCache>
            </c:strRef>
          </c:tx>
          <c:spPr>
            <a:solidFill>
              <a:srgbClr val="c00000"/>
            </a:solidFill>
            <a:ln w="0">
              <a:solidFill>
                <a:srgbClr val="c00000"/>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Dashboard!$A$30:$A$34</c:f>
              <c:strCache>
                <c:ptCount val="5"/>
                <c:pt idx="0">
                  <c:v>S001</c:v>
                </c:pt>
                <c:pt idx="1">
                  <c:v>S002</c:v>
                </c:pt>
                <c:pt idx="2">
                  <c:v>S003</c:v>
                </c:pt>
                <c:pt idx="3">
                  <c:v>S004</c:v>
                </c:pt>
                <c:pt idx="4">
                  <c:v>S005</c:v>
                </c:pt>
              </c:strCache>
            </c:strRef>
          </c:cat>
          <c:val>
            <c:numRef>
              <c:f>Dashboard!$B$30:$B$34</c:f>
              <c:numCache>
                <c:formatCode>General</c:formatCode>
                <c:ptCount val="5"/>
                <c:pt idx="0">
                  <c:v>2</c:v>
                </c:pt>
                <c:pt idx="1">
                  <c:v>0</c:v>
                </c:pt>
                <c:pt idx="2">
                  <c:v>1</c:v>
                </c:pt>
                <c:pt idx="3">
                  <c:v>1</c:v>
                </c:pt>
                <c:pt idx="4">
                  <c:v>1</c:v>
                </c:pt>
              </c:numCache>
            </c:numRef>
          </c:val>
        </c:ser>
        <c:ser>
          <c:idx val="1"/>
          <c:order val="1"/>
          <c:tx>
            <c:strRef>
              <c:f>Dashboard!C29</c:f>
              <c:strCache>
                <c:ptCount val="1"/>
                <c:pt idx="0">
                  <c:v>LOW STOCK</c:v>
                </c:pt>
              </c:strCache>
            </c:strRef>
          </c:tx>
          <c:spPr>
            <a:solidFill>
              <a:srgbClr val="ffc000"/>
            </a:solidFill>
            <a:ln w="0">
              <a:solidFill>
                <a:srgbClr val="ffc000"/>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Dashboard!$A$30:$A$34</c:f>
              <c:strCache>
                <c:ptCount val="5"/>
                <c:pt idx="0">
                  <c:v>S001</c:v>
                </c:pt>
                <c:pt idx="1">
                  <c:v>S002</c:v>
                </c:pt>
                <c:pt idx="2">
                  <c:v>S003</c:v>
                </c:pt>
                <c:pt idx="3">
                  <c:v>S004</c:v>
                </c:pt>
                <c:pt idx="4">
                  <c:v>S005</c:v>
                </c:pt>
              </c:strCache>
            </c:strRef>
          </c:cat>
          <c:val>
            <c:numRef>
              <c:f>Dashboard!$C$30:$C$34</c:f>
              <c:numCache>
                <c:formatCode>General</c:formatCode>
                <c:ptCount val="5"/>
                <c:pt idx="0">
                  <c:v>0</c:v>
                </c:pt>
                <c:pt idx="1">
                  <c:v>3</c:v>
                </c:pt>
                <c:pt idx="2">
                  <c:v>6</c:v>
                </c:pt>
                <c:pt idx="3">
                  <c:v>5</c:v>
                </c:pt>
                <c:pt idx="4">
                  <c:v>2</c:v>
                </c:pt>
              </c:numCache>
            </c:numRef>
          </c:val>
        </c:ser>
        <c:ser>
          <c:idx val="2"/>
          <c:order val="2"/>
          <c:tx>
            <c:strRef>
              <c:f>Dashboard!D29</c:f>
              <c:strCache>
                <c:ptCount val="1"/>
                <c:pt idx="0">
                  <c:v>IN STOCK</c:v>
                </c:pt>
              </c:strCache>
            </c:strRef>
          </c:tx>
          <c:spPr>
            <a:solidFill>
              <a:srgbClr val="70ad47"/>
            </a:solidFill>
            <a:ln w="0">
              <a:solidFill>
                <a:srgbClr val="70ad47"/>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Dashboard!$A$30:$A$34</c:f>
              <c:strCache>
                <c:ptCount val="5"/>
                <c:pt idx="0">
                  <c:v>S001</c:v>
                </c:pt>
                <c:pt idx="1">
                  <c:v>S002</c:v>
                </c:pt>
                <c:pt idx="2">
                  <c:v>S003</c:v>
                </c:pt>
                <c:pt idx="3">
                  <c:v>S004</c:v>
                </c:pt>
                <c:pt idx="4">
                  <c:v>S005</c:v>
                </c:pt>
              </c:strCache>
            </c:strRef>
          </c:cat>
          <c:val>
            <c:numRef>
              <c:f>Dashboard!$D$30:$D$34</c:f>
              <c:numCache>
                <c:formatCode>General</c:formatCode>
                <c:ptCount val="5"/>
                <c:pt idx="0">
                  <c:v>18</c:v>
                </c:pt>
                <c:pt idx="1">
                  <c:v>17</c:v>
                </c:pt>
                <c:pt idx="2">
                  <c:v>13</c:v>
                </c:pt>
                <c:pt idx="3">
                  <c:v>14</c:v>
                </c:pt>
                <c:pt idx="4">
                  <c:v>17</c:v>
                </c:pt>
              </c:numCache>
            </c:numRef>
          </c:val>
        </c:ser>
        <c:gapWidth val="150"/>
        <c:overlap val="100"/>
        <c:axId val="23794683"/>
        <c:axId val="49769345"/>
      </c:barChart>
      <c:catAx>
        <c:axId val="2379468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9769345"/>
        <c:crosses val="autoZero"/>
        <c:auto val="1"/>
        <c:lblAlgn val="ctr"/>
        <c:lblOffset val="100"/>
        <c:noMultiLvlLbl val="0"/>
      </c:catAx>
      <c:valAx>
        <c:axId val="49769345"/>
        <c:scaling>
          <c:orientation val="minMax"/>
        </c:scaling>
        <c:delete val="0"/>
        <c:axPos val="l"/>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3794683"/>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Stock Status by Category</a:t>
            </a:r>
          </a:p>
        </c:rich>
      </c:tx>
      <c:overlay val="0"/>
      <c:spPr>
        <a:noFill/>
        <a:ln w="0">
          <a:noFill/>
        </a:ln>
      </c:spPr>
    </c:title>
    <c:autoTitleDeleted val="0"/>
    <c:plotArea>
      <c:barChart>
        <c:barDir val="col"/>
        <c:grouping val="stacked"/>
        <c:varyColors val="0"/>
        <c:ser>
          <c:idx val="0"/>
          <c:order val="0"/>
          <c:tx>
            <c:strRef>
              <c:f>Dashboard!I29</c:f>
              <c:strCache>
                <c:ptCount val="1"/>
                <c:pt idx="0">
                  <c:v>REORDER NOW</c:v>
                </c:pt>
              </c:strCache>
            </c:strRef>
          </c:tx>
          <c:spPr>
            <a:solidFill>
              <a:srgbClr val="c00000"/>
            </a:solidFill>
            <a:ln w="0">
              <a:solidFill>
                <a:srgbClr val="c00000"/>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Dashboard!$H$30:$H$34</c:f>
              <c:strCache>
                <c:ptCount val="5"/>
                <c:pt idx="0">
                  <c:v>Clothing</c:v>
                </c:pt>
                <c:pt idx="1">
                  <c:v>Electronics</c:v>
                </c:pt>
                <c:pt idx="2">
                  <c:v>Furniture</c:v>
                </c:pt>
                <c:pt idx="3">
                  <c:v>Groceries</c:v>
                </c:pt>
                <c:pt idx="4">
                  <c:v>Toys</c:v>
                </c:pt>
              </c:strCache>
            </c:strRef>
          </c:cat>
          <c:val>
            <c:numRef>
              <c:f>Dashboard!$I$30:$I$34</c:f>
              <c:numCache>
                <c:formatCode>General</c:formatCode>
                <c:ptCount val="5"/>
                <c:pt idx="0">
                  <c:v>1</c:v>
                </c:pt>
                <c:pt idx="1">
                  <c:v>1</c:v>
                </c:pt>
                <c:pt idx="2">
                  <c:v>2</c:v>
                </c:pt>
                <c:pt idx="3">
                  <c:v>0</c:v>
                </c:pt>
                <c:pt idx="4">
                  <c:v>1</c:v>
                </c:pt>
              </c:numCache>
            </c:numRef>
          </c:val>
        </c:ser>
        <c:ser>
          <c:idx val="1"/>
          <c:order val="1"/>
          <c:tx>
            <c:strRef>
              <c:f>Dashboard!J29</c:f>
              <c:strCache>
                <c:ptCount val="1"/>
                <c:pt idx="0">
                  <c:v>LOW STOCK</c:v>
                </c:pt>
              </c:strCache>
            </c:strRef>
          </c:tx>
          <c:spPr>
            <a:solidFill>
              <a:srgbClr val="ffc000"/>
            </a:solidFill>
            <a:ln w="0">
              <a:solidFill>
                <a:srgbClr val="ffc000"/>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Dashboard!$H$30:$H$34</c:f>
              <c:strCache>
                <c:ptCount val="5"/>
                <c:pt idx="0">
                  <c:v>Clothing</c:v>
                </c:pt>
                <c:pt idx="1">
                  <c:v>Electronics</c:v>
                </c:pt>
                <c:pt idx="2">
                  <c:v>Furniture</c:v>
                </c:pt>
                <c:pt idx="3">
                  <c:v>Groceries</c:v>
                </c:pt>
                <c:pt idx="4">
                  <c:v>Toys</c:v>
                </c:pt>
              </c:strCache>
            </c:strRef>
          </c:cat>
          <c:val>
            <c:numRef>
              <c:f>Dashboard!$J$30:$J$34</c:f>
              <c:numCache>
                <c:formatCode>General</c:formatCode>
                <c:ptCount val="5"/>
                <c:pt idx="0">
                  <c:v>3</c:v>
                </c:pt>
                <c:pt idx="1">
                  <c:v>2</c:v>
                </c:pt>
                <c:pt idx="2">
                  <c:v>6</c:v>
                </c:pt>
                <c:pt idx="3">
                  <c:v>2</c:v>
                </c:pt>
                <c:pt idx="4">
                  <c:v>3</c:v>
                </c:pt>
              </c:numCache>
            </c:numRef>
          </c:val>
        </c:ser>
        <c:ser>
          <c:idx val="2"/>
          <c:order val="2"/>
          <c:tx>
            <c:strRef>
              <c:f>Dashboard!K29</c:f>
              <c:strCache>
                <c:ptCount val="1"/>
                <c:pt idx="0">
                  <c:v>IN STOCK</c:v>
                </c:pt>
              </c:strCache>
            </c:strRef>
          </c:tx>
          <c:spPr>
            <a:solidFill>
              <a:srgbClr val="70ad47"/>
            </a:solidFill>
            <a:ln w="0">
              <a:solidFill>
                <a:srgbClr val="70ad47"/>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Dashboard!$H$30:$H$34</c:f>
              <c:strCache>
                <c:ptCount val="5"/>
                <c:pt idx="0">
                  <c:v>Clothing</c:v>
                </c:pt>
                <c:pt idx="1">
                  <c:v>Electronics</c:v>
                </c:pt>
                <c:pt idx="2">
                  <c:v>Furniture</c:v>
                </c:pt>
                <c:pt idx="3">
                  <c:v>Groceries</c:v>
                </c:pt>
                <c:pt idx="4">
                  <c:v>Toys</c:v>
                </c:pt>
              </c:strCache>
            </c:strRef>
          </c:cat>
          <c:val>
            <c:numRef>
              <c:f>Dashboard!$K$30:$K$34</c:f>
              <c:numCache>
                <c:formatCode>General</c:formatCode>
                <c:ptCount val="5"/>
                <c:pt idx="0">
                  <c:v>10</c:v>
                </c:pt>
                <c:pt idx="1">
                  <c:v>21</c:v>
                </c:pt>
                <c:pt idx="2">
                  <c:v>11</c:v>
                </c:pt>
                <c:pt idx="3">
                  <c:v>16</c:v>
                </c:pt>
                <c:pt idx="4">
                  <c:v>21</c:v>
                </c:pt>
              </c:numCache>
            </c:numRef>
          </c:val>
        </c:ser>
        <c:gapWidth val="150"/>
        <c:overlap val="100"/>
        <c:axId val="17789583"/>
        <c:axId val="20245262"/>
      </c:barChart>
      <c:catAx>
        <c:axId val="1778958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0245262"/>
        <c:crosses val="autoZero"/>
        <c:auto val="1"/>
        <c:lblAlgn val="ctr"/>
        <c:lblOffset val="100"/>
        <c:noMultiLvlLbl val="0"/>
      </c:catAx>
      <c:valAx>
        <c:axId val="20245262"/>
        <c:scaling>
          <c:orientation val="minMax"/>
        </c:scaling>
        <c:delete val="0"/>
        <c:axPos val="l"/>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7789583"/>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Overall Stock Status</a:t>
            </a:r>
          </a:p>
        </c:rich>
      </c:tx>
      <c:overlay val="0"/>
      <c:spPr>
        <a:noFill/>
        <a:ln w="0">
          <a:noFill/>
        </a:ln>
      </c:spPr>
    </c:title>
    <c:autoTitleDeleted val="0"/>
    <c:plotArea>
      <c:doughnutChart>
        <c:varyColors val="1"/>
        <c:ser>
          <c:idx val="0"/>
          <c:order val="0"/>
          <c:spPr>
            <a:solidFill>
              <a:srgbClr val="4f81bd"/>
            </a:solidFill>
            <a:ln w="0">
              <a:noFill/>
            </a:ln>
          </c:spPr>
          <c:explosion val="0"/>
          <c:dPt>
            <c:idx val="0"/>
            <c:spPr>
              <a:solidFill>
                <a:srgbClr val="c00000"/>
              </a:solidFill>
              <a:ln w="0">
                <a:noFill/>
              </a:ln>
            </c:spPr>
          </c:dPt>
          <c:dPt>
            <c:idx val="1"/>
            <c:spPr>
              <a:solidFill>
                <a:srgbClr val="ffc000"/>
              </a:solidFill>
              <a:ln w="0">
                <a:noFill/>
              </a:ln>
            </c:spPr>
          </c:dPt>
          <c:dPt>
            <c:idx val="2"/>
            <c:spPr>
              <a:solidFill>
                <a:srgbClr val="70ad47"/>
              </a:solidFill>
              <a:ln w="0">
                <a:noFill/>
              </a:ln>
            </c:spPr>
          </c:dPt>
          <c:dLbls>
            <c:dLbl>
              <c:idx val="0"/>
              <c:txPr>
                <a:bodyPr wrap="square"/>
                <a:lstStyle/>
                <a:p>
                  <a:pPr>
                    <a:defRPr b="0" sz="1000" spc="-1" strike="noStrike">
                      <a:solidFill>
                        <a:srgbClr val="000000"/>
                      </a:solidFill>
                      <a:latin typeface="Calibri"/>
                    </a:defRPr>
                  </a:pPr>
                </a:p>
              </c:txPr>
              <c:showLegendKey val="1"/>
              <c:showVal val="0"/>
              <c:showCatName val="0"/>
              <c:showSerName val="0"/>
              <c:showPercent val="1"/>
              <c:separator>
</c:separator>
            </c:dLbl>
            <c:dLbl>
              <c:idx val="1"/>
              <c:txPr>
                <a:bodyPr wrap="square"/>
                <a:lstStyle/>
                <a:p>
                  <a:pPr>
                    <a:defRPr b="0" sz="1000" spc="-1" strike="noStrike">
                      <a:solidFill>
                        <a:srgbClr val="000000"/>
                      </a:solidFill>
                      <a:latin typeface="Calibri"/>
                    </a:defRPr>
                  </a:pPr>
                </a:p>
              </c:txPr>
              <c:showLegendKey val="1"/>
              <c:showVal val="0"/>
              <c:showCatName val="0"/>
              <c:showSerName val="0"/>
              <c:showPercent val="1"/>
              <c:separator>
</c:separator>
            </c:dLbl>
            <c:dLbl>
              <c:idx val="2"/>
              <c:txPr>
                <a:bodyPr wrap="square"/>
                <a:lstStyle/>
                <a:p>
                  <a:pPr>
                    <a:defRPr b="0" sz="1000" spc="-1" strike="noStrike">
                      <a:solidFill>
                        <a:srgbClr val="000000"/>
                      </a:solidFill>
                      <a:latin typeface="Calibri"/>
                    </a:defRPr>
                  </a:pPr>
                </a:p>
              </c:txPr>
              <c:showLegendKey val="1"/>
              <c:showVal val="0"/>
              <c:showCatName val="0"/>
              <c:showSerName val="0"/>
              <c:showPercent val="1"/>
              <c:separator>
</c:separator>
            </c:dLbl>
            <c:txPr>
              <a:bodyPr wrap="square"/>
              <a:lstStyle/>
              <a:p>
                <a:pPr>
                  <a:defRPr b="0" sz="1000" spc="-1" strike="noStrike">
                    <a:solidFill>
                      <a:srgbClr val="000000"/>
                    </a:solidFill>
                    <a:latin typeface="Calibri"/>
                  </a:defRPr>
                </a:pPr>
              </a:p>
            </c:txPr>
            <c:showLegendKey val="1"/>
            <c:showVal val="0"/>
            <c:showCatName val="0"/>
            <c:showSerName val="0"/>
            <c:showPercent val="1"/>
            <c:separator>
</c:separator>
            <c:showLeaderLines val="0"/>
          </c:dLbls>
          <c:cat>
            <c:strRef>
              <c:f>Dashboard!$B$29:$D$29</c:f>
              <c:strCache>
                <c:ptCount val="3"/>
                <c:pt idx="0">
                  <c:v>REORDER NOW</c:v>
                </c:pt>
                <c:pt idx="1">
                  <c:v>LOW STOCK</c:v>
                </c:pt>
                <c:pt idx="2">
                  <c:v>IN STOCK</c:v>
                </c:pt>
              </c:strCache>
            </c:strRef>
          </c:cat>
          <c:val>
            <c:numRef>
              <c:f>Dashboard!$B$35:$D$35</c:f>
              <c:numCache>
                <c:formatCode>General</c:formatCode>
                <c:ptCount val="3"/>
                <c:pt idx="0">
                  <c:v>5</c:v>
                </c:pt>
                <c:pt idx="1">
                  <c:v>16</c:v>
                </c:pt>
                <c:pt idx="2">
                  <c:v>79</c:v>
                </c:pt>
              </c:numCache>
            </c:numRef>
          </c:val>
        </c:ser>
        <c:firstSliceAng val="0"/>
        <c:holeSize val="50"/>
      </c:doughnutChart>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10</xdr:row>
      <xdr:rowOff>0</xdr:rowOff>
    </xdr:from>
    <xdr:to>
      <xdr:col>5</xdr:col>
      <xdr:colOff>741600</xdr:colOff>
      <xdr:row>24</xdr:row>
      <xdr:rowOff>68760</xdr:rowOff>
    </xdr:to>
    <xdr:graphicFrame>
      <xdr:nvGraphicFramePr>
        <xdr:cNvPr id="0" name="Chart 1"/>
        <xdr:cNvGraphicFramePr/>
      </xdr:nvGraphicFramePr>
      <xdr:xfrm>
        <a:off x="0" y="2743200"/>
        <a:ext cx="5111640" cy="2735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10</xdr:row>
      <xdr:rowOff>0</xdr:rowOff>
    </xdr:from>
    <xdr:to>
      <xdr:col>14</xdr:col>
      <xdr:colOff>19080</xdr:colOff>
      <xdr:row>24</xdr:row>
      <xdr:rowOff>68760</xdr:rowOff>
    </xdr:to>
    <xdr:graphicFrame>
      <xdr:nvGraphicFramePr>
        <xdr:cNvPr id="1" name="Chart 2"/>
        <xdr:cNvGraphicFramePr/>
      </xdr:nvGraphicFramePr>
      <xdr:xfrm>
        <a:off x="8881200" y="2743200"/>
        <a:ext cx="5939640" cy="2735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0</xdr:colOff>
      <xdr:row>10</xdr:row>
      <xdr:rowOff>0</xdr:rowOff>
    </xdr:from>
    <xdr:to>
      <xdr:col>10</xdr:col>
      <xdr:colOff>42480</xdr:colOff>
      <xdr:row>24</xdr:row>
      <xdr:rowOff>68760</xdr:rowOff>
    </xdr:to>
    <xdr:graphicFrame>
      <xdr:nvGraphicFramePr>
        <xdr:cNvPr id="2" name="Chart 3"/>
        <xdr:cNvGraphicFramePr/>
      </xdr:nvGraphicFramePr>
      <xdr:xfrm>
        <a:off x="5216040" y="2743200"/>
        <a:ext cx="3707640" cy="2735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InventoryMaster" displayName="InventoryMaster" ref="A4:U104" headerRowCount="1" totalsRowCount="0" totalsRowShown="0">
  <autoFilter ref="A4:U104"/>
  <tableColumns count="21">
    <tableColumn id="1" name="Date"/>
    <tableColumn id="2" name="Store ID"/>
    <tableColumn id="3" name="Product ID"/>
    <tableColumn id="4" name="Category"/>
    <tableColumn id="5" name="Region"/>
    <tableColumn id="6" name="Current Stock"/>
    <tableColumn id="7" name="Reorder Level"/>
    <tableColumn id="8" name="Unit Price (₹)"/>
    <tableColumn id="9" name="Stock Status"/>
    <tableColumn id="10" name="Supplier"/>
    <tableColumn id="11" name="Lead Time (Days)"/>
    <tableColumn id="12" name="Avg Daily Sales (Units)"/>
    <tableColumn id="13" name="Days of Cover"/>
    <tableColumn id="14" name="Priority"/>
    <tableColumn id="15" name="Suggested Reorder Qty"/>
    <tableColumn id="16" name="Stock Value (₹)"/>
    <tableColumn id="17" name="Reorder Cost (₹)"/>
    <tableColumn id="18" name="Expected Delivery"/>
    <tableColumn id="19" name="Recommended Action"/>
    <tableColumn id="20" name="Priority Score (helper)"/>
    <tableColumn id="21" name="Alert Rank (helper)"/>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60"/>
    <col collapsed="false" customWidth="true" hidden="false" outlineLevel="0" max="4" min="3" style="0" width="24"/>
  </cols>
  <sheetData>
    <row r="1" customFormat="false" ht="24.45" hidden="false" customHeight="false" outlineLevel="0" collapsed="false">
      <c r="A1" s="1" t="s">
        <v>0</v>
      </c>
      <c r="B1" s="1"/>
      <c r="C1" s="1"/>
      <c r="D1" s="1"/>
    </row>
    <row r="2" customFormat="false" ht="15" hidden="false" customHeight="false" outlineLevel="0" collapsed="false">
      <c r="A2" s="2" t="s">
        <v>1</v>
      </c>
      <c r="B2" s="2"/>
      <c r="C2" s="2"/>
      <c r="D2" s="2"/>
    </row>
    <row r="4" customFormat="false" ht="28.35" hidden="false" customHeight="true" outlineLevel="0" collapsed="false">
      <c r="A4" s="3" t="s">
        <v>2</v>
      </c>
      <c r="B4" s="4" t="s">
        <v>3</v>
      </c>
      <c r="C4" s="4"/>
      <c r="D4" s="4"/>
    </row>
    <row r="5" customFormat="false" ht="15" hidden="false" customHeight="true" outlineLevel="0" collapsed="false">
      <c r="A5" s="3" t="s">
        <v>4</v>
      </c>
      <c r="B5" s="4" t="s">
        <v>5</v>
      </c>
      <c r="C5" s="4"/>
      <c r="D5" s="4"/>
    </row>
    <row r="6" customFormat="false" ht="15" hidden="false" customHeight="true" outlineLevel="0" collapsed="false">
      <c r="A6" s="3" t="s">
        <v>6</v>
      </c>
      <c r="B6" s="4" t="s">
        <v>7</v>
      </c>
      <c r="C6" s="4"/>
      <c r="D6" s="4"/>
    </row>
    <row r="7" customFormat="false" ht="15" hidden="false" customHeight="true" outlineLevel="0" collapsed="false">
      <c r="A7" s="3" t="s">
        <v>8</v>
      </c>
      <c r="B7" s="4" t="s">
        <v>9</v>
      </c>
      <c r="C7" s="4"/>
      <c r="D7" s="4"/>
    </row>
    <row r="8" customFormat="false" ht="15" hidden="false" customHeight="true" outlineLevel="0" collapsed="false">
      <c r="A8" s="3" t="s">
        <v>10</v>
      </c>
      <c r="B8" s="4" t="s">
        <v>11</v>
      </c>
      <c r="C8" s="4"/>
      <c r="D8" s="4"/>
    </row>
    <row r="9" customFormat="false" ht="15" hidden="false" customHeight="true" outlineLevel="0" collapsed="false">
      <c r="A9" s="3" t="s">
        <v>12</v>
      </c>
      <c r="B9" s="4" t="s">
        <v>13</v>
      </c>
      <c r="C9" s="4"/>
      <c r="D9" s="4"/>
    </row>
    <row r="10" customFormat="false" ht="28.35" hidden="false" customHeight="true" outlineLevel="0" collapsed="false">
      <c r="A10" s="3" t="s">
        <v>14</v>
      </c>
      <c r="B10" s="4" t="s">
        <v>15</v>
      </c>
      <c r="C10" s="4"/>
      <c r="D10" s="4"/>
    </row>
    <row r="11" customFormat="false" ht="15" hidden="false" customHeight="true" outlineLevel="0" collapsed="false">
      <c r="A11" s="3" t="s">
        <v>16</v>
      </c>
      <c r="B11" s="4" t="s">
        <v>17</v>
      </c>
      <c r="C11" s="4"/>
      <c r="D11" s="4"/>
    </row>
    <row r="12" customFormat="false" ht="31.5" hidden="false" customHeight="true" outlineLevel="0" collapsed="false">
      <c r="A12" s="3" t="s">
        <v>18</v>
      </c>
      <c r="B12" s="4" t="s">
        <v>19</v>
      </c>
      <c r="C12" s="4"/>
      <c r="D12" s="4"/>
    </row>
    <row r="13" customFormat="false" ht="31.5" hidden="false" customHeight="true" outlineLevel="0" collapsed="false">
      <c r="A13" s="3" t="s">
        <v>20</v>
      </c>
      <c r="B13" s="4" t="s">
        <v>21</v>
      </c>
      <c r="C13" s="4"/>
      <c r="D13" s="4"/>
    </row>
    <row r="14" customFormat="false" ht="31.5" hidden="false" customHeight="true" outlineLevel="0" collapsed="false">
      <c r="A14" s="3" t="s">
        <v>22</v>
      </c>
      <c r="B14" s="4" t="s">
        <v>23</v>
      </c>
      <c r="C14" s="4"/>
      <c r="D14" s="4"/>
    </row>
    <row r="15" customFormat="false" ht="31.5" hidden="false" customHeight="true" outlineLevel="0" collapsed="false">
      <c r="A15" s="3" t="s">
        <v>24</v>
      </c>
      <c r="B15" s="4" t="s">
        <v>25</v>
      </c>
      <c r="C15" s="4"/>
      <c r="D15" s="4"/>
    </row>
    <row r="16" customFormat="false" ht="31.5" hidden="false" customHeight="true" outlineLevel="0" collapsed="false">
      <c r="A16" s="3" t="s">
        <v>26</v>
      </c>
      <c r="B16" s="4" t="s">
        <v>27</v>
      </c>
      <c r="C16" s="4"/>
      <c r="D16" s="4"/>
    </row>
    <row r="17" customFormat="false" ht="31.5" hidden="false" customHeight="true" outlineLevel="0" collapsed="false">
      <c r="A17" s="3" t="s">
        <v>28</v>
      </c>
      <c r="B17" s="4" t="s">
        <v>29</v>
      </c>
      <c r="C17" s="4"/>
      <c r="D17" s="4"/>
    </row>
    <row r="18" customFormat="false" ht="31.5" hidden="false" customHeight="true" outlineLevel="0" collapsed="false">
      <c r="A18" s="3" t="s">
        <v>30</v>
      </c>
      <c r="B18" s="4" t="s">
        <v>31</v>
      </c>
      <c r="C18" s="4"/>
      <c r="D18" s="4"/>
    </row>
    <row r="19" customFormat="false" ht="31.5" hidden="false" customHeight="true" outlineLevel="0" collapsed="false">
      <c r="A19" s="3" t="s">
        <v>32</v>
      </c>
      <c r="B19" s="4" t="s">
        <v>33</v>
      </c>
      <c r="C19" s="4"/>
      <c r="D19" s="4"/>
    </row>
  </sheetData>
  <mergeCells count="18">
    <mergeCell ref="A1:D1"/>
    <mergeCell ref="A2:D2"/>
    <mergeCell ref="B4:D4"/>
    <mergeCell ref="B5:D5"/>
    <mergeCell ref="B6:D6"/>
    <mergeCell ref="B7:D7"/>
    <mergeCell ref="B8:D8"/>
    <mergeCell ref="B9:D9"/>
    <mergeCell ref="B10:D10"/>
    <mergeCell ref="B11:D11"/>
    <mergeCell ref="B12:D12"/>
    <mergeCell ref="B13:D13"/>
    <mergeCell ref="B14:D14"/>
    <mergeCell ref="B15:D15"/>
    <mergeCell ref="B16:D16"/>
    <mergeCell ref="B17:D17"/>
    <mergeCell ref="B18:D18"/>
    <mergeCell ref="B19:D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65D"/>
    <pageSetUpPr fitToPage="true"/>
  </sheetPr>
  <dimension ref="A1:N5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 min="1" style="0" width="12"/>
    <col collapsed="false" customWidth="true" hidden="false" outlineLevel="0" max="4" min="4" style="0" width="14"/>
    <col collapsed="false" customWidth="true" hidden="false" outlineLevel="0" max="6" min="5" style="0" width="12"/>
    <col collapsed="false" customWidth="true" hidden="false" outlineLevel="0" max="8" min="7" style="0" width="14"/>
    <col collapsed="false" customWidth="true" hidden="false" outlineLevel="0" max="10" min="9" style="0" width="12"/>
    <col collapsed="false" customWidth="true" hidden="false" outlineLevel="0" max="11" min="11" style="0" width="22"/>
    <col collapsed="false" customWidth="true" hidden="false" outlineLevel="0" max="12" min="12" style="0" width="12"/>
    <col collapsed="false" customWidth="true" hidden="false" outlineLevel="0" max="13" min="13" style="0" width="14"/>
    <col collapsed="false" customWidth="true" hidden="false" outlineLevel="0" max="14" min="14" style="0" width="36"/>
  </cols>
  <sheetData>
    <row r="1" customFormat="false" ht="33.75" hidden="false" customHeight="true" outlineLevel="0" collapsed="false">
      <c r="A1" s="5" t="s">
        <v>34</v>
      </c>
      <c r="B1" s="5"/>
      <c r="C1" s="5"/>
      <c r="D1" s="5"/>
      <c r="E1" s="5"/>
      <c r="F1" s="5"/>
      <c r="G1" s="5"/>
      <c r="H1" s="5"/>
      <c r="I1" s="5"/>
      <c r="J1" s="5"/>
      <c r="K1" s="5"/>
      <c r="L1" s="5"/>
      <c r="M1" s="5"/>
      <c r="N1" s="5"/>
    </row>
    <row r="2" customFormat="false" ht="15" hidden="false" customHeight="false" outlineLevel="0" collapsed="false">
      <c r="A2" s="6" t="str">
        <f aca="false">"Report date: "&amp;TEXT(Settings!$B$7,"dd-mmm-yyyy")&amp;"   |   Filter - Store: "&amp;$B$4&amp;"   |   Category: "&amp;$E$4</f>
        <v>Report date: 01-Jan-2024   |   Filter - Store: All   |   Category: All</v>
      </c>
      <c r="B2" s="6"/>
      <c r="C2" s="6"/>
      <c r="D2" s="6"/>
      <c r="E2" s="6"/>
      <c r="F2" s="6"/>
      <c r="G2" s="6"/>
      <c r="H2" s="6"/>
      <c r="I2" s="6"/>
      <c r="J2" s="6"/>
      <c r="K2" s="6"/>
      <c r="L2" s="6"/>
      <c r="M2" s="6"/>
      <c r="N2" s="6"/>
    </row>
    <row r="4" customFormat="false" ht="24" hidden="false" customHeight="true" outlineLevel="0" collapsed="false">
      <c r="A4" s="7" t="s">
        <v>35</v>
      </c>
      <c r="B4" s="8" t="s">
        <v>36</v>
      </c>
      <c r="C4" s="8"/>
      <c r="D4" s="7" t="s">
        <v>37</v>
      </c>
      <c r="E4" s="8" t="s">
        <v>36</v>
      </c>
      <c r="F4" s="8"/>
      <c r="H4" s="9" t="s">
        <v>38</v>
      </c>
    </row>
    <row r="6" customFormat="false" ht="19.5" hidden="false" customHeight="true" outlineLevel="0" collapsed="false">
      <c r="A6" s="10" t="s">
        <v>39</v>
      </c>
      <c r="B6" s="10"/>
      <c r="C6" s="11" t="s">
        <v>40</v>
      </c>
      <c r="D6" s="11"/>
      <c r="E6" s="12" t="s">
        <v>41</v>
      </c>
      <c r="F6" s="12"/>
      <c r="G6" s="13" t="s">
        <v>42</v>
      </c>
      <c r="H6" s="13"/>
      <c r="I6" s="10" t="s">
        <v>43</v>
      </c>
      <c r="J6" s="10"/>
      <c r="K6" s="10" t="s">
        <v>44</v>
      </c>
      <c r="L6" s="10"/>
      <c r="M6" s="12" t="s">
        <v>45</v>
      </c>
      <c r="N6" s="12"/>
    </row>
    <row r="7" customFormat="false" ht="42" hidden="false" customHeight="true" outlineLevel="0" collapsed="false">
      <c r="A7" s="14" t="n">
        <f aca="false">COUNTIFS(Inventory_Data!$B$5:$B$104,Settings!$B$10,Inventory_Data!$D$5:$D$104,Settings!$B$11)</f>
        <v>100</v>
      </c>
      <c r="B7" s="14"/>
      <c r="C7" s="15" t="n">
        <f aca="false">COUNTIFS(Inventory_Data!$B$5:$B$104,Settings!$B$10,Inventory_Data!$D$5:$D$104,Settings!$B$11,Inventory_Data!$I$5:$I$104,"REORDER NOW")</f>
        <v>5</v>
      </c>
      <c r="D7" s="15"/>
      <c r="E7" s="16" t="n">
        <f aca="false">COUNTIFS(Inventory_Data!$B$5:$B$104,Settings!$B$10,Inventory_Data!$D$5:$D$104,Settings!$B$11,Inventory_Data!$I$5:$I$104,"LOW STOCK")</f>
        <v>16</v>
      </c>
      <c r="F7" s="16"/>
      <c r="G7" s="17" t="n">
        <f aca="false">COUNTIFS(Inventory_Data!$B$5:$B$104,Settings!$B$10,Inventory_Data!$D$5:$D$104,Settings!$B$11,Inventory_Data!$I$5:$I$104,"IN STOCK")</f>
        <v>79</v>
      </c>
      <c r="H7" s="17"/>
      <c r="I7" s="18" t="n">
        <f aca="false">IFERROR(G7/A7,0)</f>
        <v>0.79</v>
      </c>
      <c r="J7" s="18"/>
      <c r="K7" s="19" t="n">
        <f aca="false">SUMIFS(Inventory_Data!$P$5:$P$104,Inventory_Data!$B$5:$B$104,Settings!$B$10,Inventory_Data!$D$5:$D$104,Settings!$B$11)</f>
        <v>1410126.86</v>
      </c>
      <c r="L7" s="19"/>
      <c r="M7" s="20" t="n">
        <f aca="false">SUMIFS(Inventory_Data!$Q$5:$Q$104,Inventory_Data!$B$5:$B$104,Settings!$B$10,Inventory_Data!$D$5:$D$104,Settings!$B$11)</f>
        <v>477686.97</v>
      </c>
      <c r="N7" s="20"/>
    </row>
    <row r="9" customFormat="false" ht="15" hidden="false" customHeight="false" outlineLevel="0" collapsed="false">
      <c r="A9" s="21" t="str">
        <f aca="false">"Rule:  REORDER NOW = Stock &lt;= Reorder Level   |   LOW STOCK = up to "&amp;TEXT(Settings!$B$5,"0%")&amp;" above Reorder Level   |   IN STOCK = otherwise   |   CRITICAL = days of cover shorter than supplier lead time"</f>
        <v>Rule:  REORDER NOW = Stock &lt;= Reorder Level   |   LOW STOCK = up to 25% above Reorder Level   |   IN STOCK = otherwise   |   CRITICAL = days of cover shorter than supplier lead time</v>
      </c>
    </row>
    <row r="10" customFormat="false" ht="21.75" hidden="false" customHeight="true" outlineLevel="0" collapsed="false">
      <c r="A10" s="22" t="s">
        <v>46</v>
      </c>
      <c r="B10" s="22"/>
      <c r="C10" s="22"/>
      <c r="D10" s="22"/>
      <c r="E10" s="22"/>
      <c r="F10" s="22"/>
      <c r="G10" s="22"/>
      <c r="H10" s="22"/>
      <c r="I10" s="22"/>
      <c r="J10" s="22"/>
      <c r="K10" s="22"/>
      <c r="L10" s="22"/>
      <c r="M10" s="22"/>
      <c r="N10" s="22"/>
    </row>
    <row r="28" customFormat="false" ht="21.75" hidden="false" customHeight="true" outlineLevel="0" collapsed="false">
      <c r="A28" s="22" t="s">
        <v>47</v>
      </c>
      <c r="B28" s="22"/>
      <c r="C28" s="22"/>
      <c r="D28" s="22"/>
      <c r="E28" s="22"/>
      <c r="F28" s="22"/>
      <c r="G28" s="22"/>
      <c r="H28" s="22"/>
      <c r="I28" s="22"/>
      <c r="J28" s="22"/>
      <c r="K28" s="22"/>
      <c r="L28" s="22"/>
      <c r="M28" s="22"/>
      <c r="N28" s="22"/>
    </row>
    <row r="29" customFormat="false" ht="30" hidden="false" customHeight="true" outlineLevel="0" collapsed="false">
      <c r="A29" s="23" t="s">
        <v>35</v>
      </c>
      <c r="B29" s="23" t="s">
        <v>40</v>
      </c>
      <c r="C29" s="23" t="s">
        <v>41</v>
      </c>
      <c r="D29" s="23" t="s">
        <v>42</v>
      </c>
      <c r="E29" s="23" t="s">
        <v>48</v>
      </c>
      <c r="F29" s="23" t="s">
        <v>49</v>
      </c>
      <c r="H29" s="23" t="s">
        <v>37</v>
      </c>
      <c r="I29" s="23" t="s">
        <v>40</v>
      </c>
      <c r="J29" s="23" t="s">
        <v>41</v>
      </c>
      <c r="K29" s="23" t="s">
        <v>42</v>
      </c>
      <c r="L29" s="23" t="s">
        <v>48</v>
      </c>
      <c r="M29" s="23" t="s">
        <v>49</v>
      </c>
    </row>
    <row r="30" customFormat="false" ht="15" hidden="false" customHeight="false" outlineLevel="0" collapsed="false">
      <c r="A30" s="24" t="s">
        <v>50</v>
      </c>
      <c r="B30" s="25" t="n">
        <f aca="false">COUNTIFS(Inventory_Data!$B$5:$B$104,$A30,Inventory_Data!$I$5:$I$104,B$29)</f>
        <v>2</v>
      </c>
      <c r="C30" s="25" t="n">
        <f aca="false">COUNTIFS(Inventory_Data!$B$5:$B$104,$A30,Inventory_Data!$I$5:$I$104,C$29)</f>
        <v>0</v>
      </c>
      <c r="D30" s="25" t="n">
        <f aca="false">COUNTIFS(Inventory_Data!$B$5:$B$104,$A30,Inventory_Data!$I$5:$I$104,D$29)</f>
        <v>18</v>
      </c>
      <c r="E30" s="25" t="n">
        <f aca="false">SUM(B30:D30)</f>
        <v>20</v>
      </c>
      <c r="F30" s="26" t="n">
        <f aca="false">IFERROR((B30+C30)/E30,0)</f>
        <v>0.1</v>
      </c>
      <c r="H30" s="24" t="s">
        <v>51</v>
      </c>
      <c r="I30" s="25" t="n">
        <f aca="false">COUNTIFS(Inventory_Data!$D$5:$D$104,$H30,Inventory_Data!$I$5:$I$104,I$29)</f>
        <v>1</v>
      </c>
      <c r="J30" s="25" t="n">
        <f aca="false">COUNTIFS(Inventory_Data!$D$5:$D$104,$H30,Inventory_Data!$I$5:$I$104,J$29)</f>
        <v>3</v>
      </c>
      <c r="K30" s="25" t="n">
        <f aca="false">COUNTIFS(Inventory_Data!$D$5:$D$104,$H30,Inventory_Data!$I$5:$I$104,K$29)</f>
        <v>10</v>
      </c>
      <c r="L30" s="25" t="n">
        <f aca="false">SUM(I30:K30)</f>
        <v>14</v>
      </c>
      <c r="M30" s="26" t="n">
        <f aca="false">IFERROR((I30+J30)/L30,0)</f>
        <v>0.285714285714286</v>
      </c>
    </row>
    <row r="31" customFormat="false" ht="15" hidden="false" customHeight="false" outlineLevel="0" collapsed="false">
      <c r="A31" s="24" t="s">
        <v>52</v>
      </c>
      <c r="B31" s="25" t="n">
        <f aca="false">COUNTIFS(Inventory_Data!$B$5:$B$104,$A31,Inventory_Data!$I$5:$I$104,B$29)</f>
        <v>0</v>
      </c>
      <c r="C31" s="25" t="n">
        <f aca="false">COUNTIFS(Inventory_Data!$B$5:$B$104,$A31,Inventory_Data!$I$5:$I$104,C$29)</f>
        <v>3</v>
      </c>
      <c r="D31" s="25" t="n">
        <f aca="false">COUNTIFS(Inventory_Data!$B$5:$B$104,$A31,Inventory_Data!$I$5:$I$104,D$29)</f>
        <v>17</v>
      </c>
      <c r="E31" s="25" t="n">
        <f aca="false">SUM(B31:D31)</f>
        <v>20</v>
      </c>
      <c r="F31" s="26" t="n">
        <f aca="false">IFERROR((B31+C31)/E31,0)</f>
        <v>0.15</v>
      </c>
      <c r="H31" s="24" t="s">
        <v>53</v>
      </c>
      <c r="I31" s="25" t="n">
        <f aca="false">COUNTIFS(Inventory_Data!$D$5:$D$104,$H31,Inventory_Data!$I$5:$I$104,I$29)</f>
        <v>1</v>
      </c>
      <c r="J31" s="25" t="n">
        <f aca="false">COUNTIFS(Inventory_Data!$D$5:$D$104,$H31,Inventory_Data!$I$5:$I$104,J$29)</f>
        <v>2</v>
      </c>
      <c r="K31" s="25" t="n">
        <f aca="false">COUNTIFS(Inventory_Data!$D$5:$D$104,$H31,Inventory_Data!$I$5:$I$104,K$29)</f>
        <v>21</v>
      </c>
      <c r="L31" s="25" t="n">
        <f aca="false">SUM(I31:K31)</f>
        <v>24</v>
      </c>
      <c r="M31" s="26" t="n">
        <f aca="false">IFERROR((I31+J31)/L31,0)</f>
        <v>0.125</v>
      </c>
    </row>
    <row r="32" customFormat="false" ht="15" hidden="false" customHeight="false" outlineLevel="0" collapsed="false">
      <c r="A32" s="24" t="s">
        <v>54</v>
      </c>
      <c r="B32" s="25" t="n">
        <f aca="false">COUNTIFS(Inventory_Data!$B$5:$B$104,$A32,Inventory_Data!$I$5:$I$104,B$29)</f>
        <v>1</v>
      </c>
      <c r="C32" s="25" t="n">
        <f aca="false">COUNTIFS(Inventory_Data!$B$5:$B$104,$A32,Inventory_Data!$I$5:$I$104,C$29)</f>
        <v>6</v>
      </c>
      <c r="D32" s="25" t="n">
        <f aca="false">COUNTIFS(Inventory_Data!$B$5:$B$104,$A32,Inventory_Data!$I$5:$I$104,D$29)</f>
        <v>13</v>
      </c>
      <c r="E32" s="25" t="n">
        <f aca="false">SUM(B32:D32)</f>
        <v>20</v>
      </c>
      <c r="F32" s="26" t="n">
        <f aca="false">IFERROR((B32+C32)/E32,0)</f>
        <v>0.35</v>
      </c>
      <c r="H32" s="24" t="s">
        <v>55</v>
      </c>
      <c r="I32" s="25" t="n">
        <f aca="false">COUNTIFS(Inventory_Data!$D$5:$D$104,$H32,Inventory_Data!$I$5:$I$104,I$29)</f>
        <v>2</v>
      </c>
      <c r="J32" s="25" t="n">
        <f aca="false">COUNTIFS(Inventory_Data!$D$5:$D$104,$H32,Inventory_Data!$I$5:$I$104,J$29)</f>
        <v>6</v>
      </c>
      <c r="K32" s="25" t="n">
        <f aca="false">COUNTIFS(Inventory_Data!$D$5:$D$104,$H32,Inventory_Data!$I$5:$I$104,K$29)</f>
        <v>11</v>
      </c>
      <c r="L32" s="25" t="n">
        <f aca="false">SUM(I32:K32)</f>
        <v>19</v>
      </c>
      <c r="M32" s="26" t="n">
        <f aca="false">IFERROR((I32+J32)/L32,0)</f>
        <v>0.421052631578947</v>
      </c>
    </row>
    <row r="33" customFormat="false" ht="15" hidden="false" customHeight="false" outlineLevel="0" collapsed="false">
      <c r="A33" s="24" t="s">
        <v>56</v>
      </c>
      <c r="B33" s="25" t="n">
        <f aca="false">COUNTIFS(Inventory_Data!$B$5:$B$104,$A33,Inventory_Data!$I$5:$I$104,B$29)</f>
        <v>1</v>
      </c>
      <c r="C33" s="25" t="n">
        <f aca="false">COUNTIFS(Inventory_Data!$B$5:$B$104,$A33,Inventory_Data!$I$5:$I$104,C$29)</f>
        <v>5</v>
      </c>
      <c r="D33" s="25" t="n">
        <f aca="false">COUNTIFS(Inventory_Data!$B$5:$B$104,$A33,Inventory_Data!$I$5:$I$104,D$29)</f>
        <v>14</v>
      </c>
      <c r="E33" s="25" t="n">
        <f aca="false">SUM(B33:D33)</f>
        <v>20</v>
      </c>
      <c r="F33" s="26" t="n">
        <f aca="false">IFERROR((B33+C33)/E33,0)</f>
        <v>0.3</v>
      </c>
      <c r="H33" s="24" t="s">
        <v>57</v>
      </c>
      <c r="I33" s="25" t="n">
        <f aca="false">COUNTIFS(Inventory_Data!$D$5:$D$104,$H33,Inventory_Data!$I$5:$I$104,I$29)</f>
        <v>0</v>
      </c>
      <c r="J33" s="25" t="n">
        <f aca="false">COUNTIFS(Inventory_Data!$D$5:$D$104,$H33,Inventory_Data!$I$5:$I$104,J$29)</f>
        <v>2</v>
      </c>
      <c r="K33" s="25" t="n">
        <f aca="false">COUNTIFS(Inventory_Data!$D$5:$D$104,$H33,Inventory_Data!$I$5:$I$104,K$29)</f>
        <v>16</v>
      </c>
      <c r="L33" s="25" t="n">
        <f aca="false">SUM(I33:K33)</f>
        <v>18</v>
      </c>
      <c r="M33" s="26" t="n">
        <f aca="false">IFERROR((I33+J33)/L33,0)</f>
        <v>0.111111111111111</v>
      </c>
    </row>
    <row r="34" customFormat="false" ht="15" hidden="false" customHeight="false" outlineLevel="0" collapsed="false">
      <c r="A34" s="24" t="s">
        <v>58</v>
      </c>
      <c r="B34" s="25" t="n">
        <f aca="false">COUNTIFS(Inventory_Data!$B$5:$B$104,$A34,Inventory_Data!$I$5:$I$104,B$29)</f>
        <v>1</v>
      </c>
      <c r="C34" s="25" t="n">
        <f aca="false">COUNTIFS(Inventory_Data!$B$5:$B$104,$A34,Inventory_Data!$I$5:$I$104,C$29)</f>
        <v>2</v>
      </c>
      <c r="D34" s="25" t="n">
        <f aca="false">COUNTIFS(Inventory_Data!$B$5:$B$104,$A34,Inventory_Data!$I$5:$I$104,D$29)</f>
        <v>17</v>
      </c>
      <c r="E34" s="25" t="n">
        <f aca="false">SUM(B34:D34)</f>
        <v>20</v>
      </c>
      <c r="F34" s="26" t="n">
        <f aca="false">IFERROR((B34+C34)/E34,0)</f>
        <v>0.15</v>
      </c>
      <c r="H34" s="24" t="s">
        <v>59</v>
      </c>
      <c r="I34" s="25" t="n">
        <f aca="false">COUNTIFS(Inventory_Data!$D$5:$D$104,$H34,Inventory_Data!$I$5:$I$104,I$29)</f>
        <v>1</v>
      </c>
      <c r="J34" s="25" t="n">
        <f aca="false">COUNTIFS(Inventory_Data!$D$5:$D$104,$H34,Inventory_Data!$I$5:$I$104,J$29)</f>
        <v>3</v>
      </c>
      <c r="K34" s="25" t="n">
        <f aca="false">COUNTIFS(Inventory_Data!$D$5:$D$104,$H34,Inventory_Data!$I$5:$I$104,K$29)</f>
        <v>21</v>
      </c>
      <c r="L34" s="25" t="n">
        <f aca="false">SUM(I34:K34)</f>
        <v>25</v>
      </c>
      <c r="M34" s="26" t="n">
        <f aca="false">IFERROR((I34+J34)/L34,0)</f>
        <v>0.16</v>
      </c>
    </row>
    <row r="35" customFormat="false" ht="15" hidden="false" customHeight="false" outlineLevel="0" collapsed="false">
      <c r="A35" s="27" t="s">
        <v>60</v>
      </c>
      <c r="B35" s="28" t="n">
        <f aca="false">SUM(B30:B34)</f>
        <v>5</v>
      </c>
      <c r="C35" s="28" t="n">
        <f aca="false">SUM(C30:C34)</f>
        <v>16</v>
      </c>
      <c r="D35" s="28" t="n">
        <f aca="false">SUM(D30:D34)</f>
        <v>79</v>
      </c>
      <c r="E35" s="28" t="n">
        <f aca="false">SUM(E30:E34)</f>
        <v>100</v>
      </c>
      <c r="F35" s="29" t="n">
        <f aca="false">IFERROR((B35+C35)/E35,0)</f>
        <v>0.21</v>
      </c>
      <c r="H35" s="27" t="s">
        <v>60</v>
      </c>
      <c r="I35" s="28" t="n">
        <f aca="false">SUM(I30:I34)</f>
        <v>5</v>
      </c>
      <c r="J35" s="28" t="n">
        <f aca="false">SUM(J30:J34)</f>
        <v>16</v>
      </c>
      <c r="K35" s="28" t="n">
        <f aca="false">SUM(K30:K34)</f>
        <v>79</v>
      </c>
      <c r="L35" s="28" t="n">
        <f aca="false">SUM(L30:L34)</f>
        <v>100</v>
      </c>
      <c r="M35" s="29" t="n">
        <f aca="false">IFERROR((I35+J35)/L35,0)</f>
        <v>0.21</v>
      </c>
    </row>
    <row r="37" customFormat="false" ht="30" hidden="false" customHeight="true" outlineLevel="0" collapsed="false">
      <c r="A37" s="23" t="s">
        <v>61</v>
      </c>
      <c r="B37" s="23" t="s">
        <v>40</v>
      </c>
      <c r="C37" s="23" t="s">
        <v>41</v>
      </c>
      <c r="D37" s="23" t="s">
        <v>42</v>
      </c>
      <c r="E37" s="23" t="s">
        <v>48</v>
      </c>
      <c r="F37" s="23" t="s">
        <v>49</v>
      </c>
      <c r="H37" s="23" t="s">
        <v>62</v>
      </c>
      <c r="I37" s="23" t="s">
        <v>63</v>
      </c>
      <c r="J37" s="23" t="s">
        <v>64</v>
      </c>
      <c r="K37" s="23" t="s">
        <v>65</v>
      </c>
      <c r="L37" s="23" t="s">
        <v>66</v>
      </c>
      <c r="M37" s="23" t="s">
        <v>67</v>
      </c>
    </row>
    <row r="38" customFormat="false" ht="15" hidden="false" customHeight="false" outlineLevel="0" collapsed="false">
      <c r="A38" s="24" t="s">
        <v>68</v>
      </c>
      <c r="B38" s="25" t="n">
        <f aca="false">COUNTIFS(Inventory_Data!$E$5:$E$104,$A38,Inventory_Data!$I$5:$I$104,B$37)</f>
        <v>1</v>
      </c>
      <c r="C38" s="25" t="n">
        <f aca="false">COUNTIFS(Inventory_Data!$E$5:$E$104,$A38,Inventory_Data!$I$5:$I$104,C$37)</f>
        <v>5</v>
      </c>
      <c r="D38" s="25" t="n">
        <f aca="false">COUNTIFS(Inventory_Data!$E$5:$E$104,$A38,Inventory_Data!$I$5:$I$104,D$37)</f>
        <v>21</v>
      </c>
      <c r="E38" s="25" t="n">
        <f aca="false">SUM(B38:D38)</f>
        <v>27</v>
      </c>
      <c r="F38" s="26" t="n">
        <f aca="false">IFERROR((B38+C38)/E38,0)</f>
        <v>0.222222222222222</v>
      </c>
      <c r="H38" s="24" t="s">
        <v>69</v>
      </c>
      <c r="I38" s="25" t="n">
        <f aca="false">COUNTIFS(Inventory_Data!$N$5:$N$104,$H38)</f>
        <v>5</v>
      </c>
      <c r="J38" s="25" t="n">
        <f aca="false">SUMIFS(Inventory_Data!$O$5:$O$104,Inventory_Data!$N$5:$N$104,$H38)</f>
        <v>2573</v>
      </c>
      <c r="K38" s="30" t="n">
        <f aca="false">SUMIFS(Inventory_Data!$Q$5:$Q$104,Inventory_Data!$N$5:$N$104,$H38)</f>
        <v>131359.74</v>
      </c>
      <c r="L38" s="31" t="n">
        <f aca="false">IFERROR(AVERAGEIFS(Inventory_Data!$M$5:$M$104,Inventory_Data!$N$5:$N$104,$H38),0)</f>
        <v>7.22</v>
      </c>
      <c r="M38" s="31" t="n">
        <f aca="false">IFERROR(AVERAGEIFS(Inventory_Data!$K$5:$K$104,Inventory_Data!$N$5:$N$104,$H38),0)</f>
        <v>8.6</v>
      </c>
    </row>
    <row r="39" customFormat="false" ht="15" hidden="false" customHeight="false" outlineLevel="0" collapsed="false">
      <c r="A39" s="24" t="s">
        <v>70</v>
      </c>
      <c r="B39" s="25" t="n">
        <f aca="false">COUNTIFS(Inventory_Data!$E$5:$E$104,$A39,Inventory_Data!$I$5:$I$104,B$37)</f>
        <v>1</v>
      </c>
      <c r="C39" s="25" t="n">
        <f aca="false">COUNTIFS(Inventory_Data!$E$5:$E$104,$A39,Inventory_Data!$I$5:$I$104,C$37)</f>
        <v>5</v>
      </c>
      <c r="D39" s="25" t="n">
        <f aca="false">COUNTIFS(Inventory_Data!$E$5:$E$104,$A39,Inventory_Data!$I$5:$I$104,D$37)</f>
        <v>24</v>
      </c>
      <c r="E39" s="25" t="n">
        <f aca="false">SUM(B39:D39)</f>
        <v>30</v>
      </c>
      <c r="F39" s="26" t="n">
        <f aca="false">IFERROR((B39+C39)/E39,0)</f>
        <v>0.2</v>
      </c>
      <c r="H39" s="24" t="s">
        <v>71</v>
      </c>
      <c r="I39" s="25" t="n">
        <f aca="false">COUNTIFS(Inventory_Data!$N$5:$N$104,$H39)</f>
        <v>2</v>
      </c>
      <c r="J39" s="25" t="n">
        <f aca="false">SUMIFS(Inventory_Data!$O$5:$O$104,Inventory_Data!$N$5:$N$104,$H39)</f>
        <v>381</v>
      </c>
      <c r="K39" s="30" t="n">
        <f aca="false">SUMIFS(Inventory_Data!$Q$5:$Q$104,Inventory_Data!$N$5:$N$104,$H39)</f>
        <v>15570.81</v>
      </c>
      <c r="L39" s="31" t="n">
        <f aca="false">IFERROR(AVERAGEIFS(Inventory_Data!$M$5:$M$104,Inventory_Data!$N$5:$N$104,$H39),0)</f>
        <v>7.2</v>
      </c>
      <c r="M39" s="31" t="n">
        <f aca="false">IFERROR(AVERAGEIFS(Inventory_Data!$K$5:$K$104,Inventory_Data!$N$5:$N$104,$H39),0)</f>
        <v>6</v>
      </c>
    </row>
    <row r="40" customFormat="false" ht="15" hidden="false" customHeight="false" outlineLevel="0" collapsed="false">
      <c r="A40" s="24" t="s">
        <v>72</v>
      </c>
      <c r="B40" s="25" t="n">
        <f aca="false">COUNTIFS(Inventory_Data!$E$5:$E$104,$A40,Inventory_Data!$I$5:$I$104,B$37)</f>
        <v>1</v>
      </c>
      <c r="C40" s="25" t="n">
        <f aca="false">COUNTIFS(Inventory_Data!$E$5:$E$104,$A40,Inventory_Data!$I$5:$I$104,C$37)</f>
        <v>1</v>
      </c>
      <c r="D40" s="25" t="n">
        <f aca="false">COUNTIFS(Inventory_Data!$E$5:$E$104,$A40,Inventory_Data!$I$5:$I$104,D$37)</f>
        <v>12</v>
      </c>
      <c r="E40" s="25" t="n">
        <f aca="false">SUM(B40:D40)</f>
        <v>14</v>
      </c>
      <c r="F40" s="26" t="n">
        <f aca="false">IFERROR((B40+C40)/E40,0)</f>
        <v>0.142857142857143</v>
      </c>
      <c r="H40" s="24" t="s">
        <v>73</v>
      </c>
      <c r="I40" s="25" t="n">
        <f aca="false">COUNTIFS(Inventory_Data!$N$5:$N$104,$H40)</f>
        <v>14</v>
      </c>
      <c r="J40" s="25" t="n">
        <f aca="false">SUMIFS(Inventory_Data!$O$5:$O$104,Inventory_Data!$N$5:$N$104,$H40)</f>
        <v>5721</v>
      </c>
      <c r="K40" s="30" t="n">
        <f aca="false">SUMIFS(Inventory_Data!$Q$5:$Q$104,Inventory_Data!$N$5:$N$104,$H40)</f>
        <v>330756.42</v>
      </c>
      <c r="L40" s="31" t="n">
        <f aca="false">IFERROR(AVERAGEIFS(Inventory_Data!$M$5:$M$104,Inventory_Data!$N$5:$N$104,$H40),0)</f>
        <v>10.3571428571429</v>
      </c>
      <c r="M40" s="31" t="n">
        <f aca="false">IFERROR(AVERAGEIFS(Inventory_Data!$K$5:$K$104,Inventory_Data!$N$5:$N$104,$H40),0)</f>
        <v>7.85714285714286</v>
      </c>
    </row>
    <row r="41" customFormat="false" ht="15" hidden="false" customHeight="false" outlineLevel="0" collapsed="false">
      <c r="A41" s="24" t="s">
        <v>74</v>
      </c>
      <c r="B41" s="25" t="n">
        <f aca="false">COUNTIFS(Inventory_Data!$E$5:$E$104,$A41,Inventory_Data!$I$5:$I$104,B$37)</f>
        <v>2</v>
      </c>
      <c r="C41" s="25" t="n">
        <f aca="false">COUNTIFS(Inventory_Data!$E$5:$E$104,$A41,Inventory_Data!$I$5:$I$104,C$37)</f>
        <v>5</v>
      </c>
      <c r="D41" s="25" t="n">
        <f aca="false">COUNTIFS(Inventory_Data!$E$5:$E$104,$A41,Inventory_Data!$I$5:$I$104,D$37)</f>
        <v>22</v>
      </c>
      <c r="E41" s="25" t="n">
        <f aca="false">SUM(B41:D41)</f>
        <v>29</v>
      </c>
      <c r="F41" s="26" t="n">
        <f aca="false">IFERROR((B41+C41)/E41,0)</f>
        <v>0.241379310344828</v>
      </c>
      <c r="H41" s="27" t="s">
        <v>60</v>
      </c>
      <c r="I41" s="28" t="n">
        <f aca="false">SUM(I38:I40)</f>
        <v>21</v>
      </c>
      <c r="J41" s="28" t="n">
        <f aca="false">SUM(J38:J40)</f>
        <v>8675</v>
      </c>
      <c r="K41" s="32" t="n">
        <f aca="false">SUM(K38:K40)</f>
        <v>477686.97</v>
      </c>
      <c r="L41" s="33" t="s">
        <v>75</v>
      </c>
      <c r="M41" s="33" t="s">
        <v>75</v>
      </c>
    </row>
    <row r="42" customFormat="false" ht="15" hidden="false" customHeight="false" outlineLevel="0" collapsed="false">
      <c r="A42" s="27" t="s">
        <v>60</v>
      </c>
      <c r="B42" s="28" t="n">
        <f aca="false">SUM(B38:B41)</f>
        <v>5</v>
      </c>
      <c r="C42" s="28" t="n">
        <f aca="false">SUM(C38:C41)</f>
        <v>16</v>
      </c>
      <c r="D42" s="28" t="n">
        <f aca="false">SUM(D38:D41)</f>
        <v>79</v>
      </c>
      <c r="E42" s="28" t="n">
        <f aca="false">SUM(E38:E41)</f>
        <v>100</v>
      </c>
      <c r="F42" s="29" t="n">
        <f aca="false">IFERROR((B42+C42)/E42,0)</f>
        <v>0.21</v>
      </c>
    </row>
    <row r="45" customFormat="false" ht="21.75" hidden="false" customHeight="true" outlineLevel="0" collapsed="false">
      <c r="A45" s="22" t="s">
        <v>76</v>
      </c>
      <c r="B45" s="22"/>
      <c r="C45" s="22"/>
      <c r="D45" s="22"/>
      <c r="E45" s="22"/>
      <c r="F45" s="22"/>
      <c r="G45" s="22"/>
      <c r="H45" s="22"/>
      <c r="I45" s="22"/>
      <c r="J45" s="22"/>
      <c r="K45" s="22"/>
      <c r="L45" s="22"/>
      <c r="M45" s="22"/>
      <c r="N45" s="22"/>
    </row>
    <row r="46" customFormat="false" ht="30" hidden="false" customHeight="true" outlineLevel="0" collapsed="false">
      <c r="A46" s="23" t="s">
        <v>77</v>
      </c>
      <c r="B46" s="23" t="s">
        <v>35</v>
      </c>
      <c r="C46" s="23" t="s">
        <v>78</v>
      </c>
      <c r="D46" s="23" t="s">
        <v>37</v>
      </c>
      <c r="E46" s="23" t="s">
        <v>79</v>
      </c>
      <c r="F46" s="23" t="s">
        <v>80</v>
      </c>
      <c r="G46" s="23" t="s">
        <v>81</v>
      </c>
      <c r="H46" s="23" t="s">
        <v>62</v>
      </c>
      <c r="I46" s="23" t="s">
        <v>82</v>
      </c>
      <c r="J46" s="23" t="s">
        <v>83</v>
      </c>
      <c r="K46" s="23" t="s">
        <v>84</v>
      </c>
      <c r="L46" s="23" t="s">
        <v>85</v>
      </c>
      <c r="M46" s="23" t="s">
        <v>86</v>
      </c>
      <c r="N46" s="23" t="s">
        <v>87</v>
      </c>
    </row>
    <row r="47" customFormat="false" ht="28.35" hidden="false" customHeight="false" outlineLevel="0" collapsed="false">
      <c r="A47" s="34" t="n">
        <v>1</v>
      </c>
      <c r="B47" s="25" t="str">
        <f aca="false">IFERROR(INDEX(Inventory_Data!$B$5:$B$104,MATCH($A47,Inventory_Data!$U$5:$U$104,0)),"")</f>
        <v>S005</v>
      </c>
      <c r="C47" s="25" t="str">
        <f aca="false">IFERROR(INDEX(Inventory_Data!$C$5:$C$104,MATCH($A47,Inventory_Data!$U$5:$U$104,0)),"")</f>
        <v>P0003</v>
      </c>
      <c r="D47" s="25" t="str">
        <f aca="false">IFERROR(INDEX(Inventory_Data!$D$5:$D$104,MATCH($A47,Inventory_Data!$U$5:$U$104,0)),"")</f>
        <v>Furniture</v>
      </c>
      <c r="E47" s="25" t="n">
        <f aca="false">IFERROR(INDEX(Inventory_Data!$F$5:$F$104,MATCH($A47,Inventory_Data!$U$5:$U$104,0)),"")</f>
        <v>98</v>
      </c>
      <c r="F47" s="25" t="n">
        <f aca="false">IFERROR(INDEX(Inventory_Data!$G$5:$G$104,MATCH($A47,Inventory_Data!$U$5:$U$104,0)),"")</f>
        <v>106</v>
      </c>
      <c r="G47" s="34" t="str">
        <f aca="false">IFERROR(INDEX(Inventory_Data!$I$5:$I$104,MATCH($A47,Inventory_Data!$U$5:$U$104,0)),"")</f>
        <v>REORDER NOW</v>
      </c>
      <c r="H47" s="35" t="str">
        <f aca="false">IFERROR(INDEX(Inventory_Data!$N$5:$N$104,MATCH($A47,Inventory_Data!$U$5:$U$104,0)),"")</f>
        <v>CRITICAL</v>
      </c>
      <c r="I47" s="31" t="n">
        <f aca="false">IFERROR(INDEX(Inventory_Data!$M$5:$M$104,MATCH($A47,Inventory_Data!$U$5:$U$104,0)),"")</f>
        <v>10.5</v>
      </c>
      <c r="J47" s="25" t="n">
        <f aca="false">IFERROR(INDEX(Inventory_Data!$K$5:$K$104,MATCH($A47,Inventory_Data!$U$5:$U$104,0)),"")</f>
        <v>12</v>
      </c>
      <c r="K47" s="36" t="str">
        <f aca="false">IFERROR(INDEX(Inventory_Data!$J$5:$J$104,MATCH($A47,Inventory_Data!$U$5:$U$104,0)),"")</f>
        <v>HomeCraft Suppliers</v>
      </c>
      <c r="L47" s="25" t="n">
        <f aca="false">IFERROR(INDEX(Inventory_Data!$O$5:$O$104,MATCH($A47,Inventory_Data!$U$5:$U$104,0)),"")</f>
        <v>220</v>
      </c>
      <c r="M47" s="30" t="n">
        <f aca="false">IFERROR(INDEX(Inventory_Data!$Q$5:$Q$104,MATCH($A47,Inventory_Data!$U$5:$U$104,0)),"")</f>
        <v>5317.4</v>
      </c>
      <c r="N47" s="36" t="str">
        <f aca="false">IFERROR(INDEX(Inventory_Data!$S$5:$S$104,MATCH($A47,Inventory_Data!$U$5:$U$104,0)),"")</f>
        <v>Order immediately - stock-out before delivery</v>
      </c>
    </row>
    <row r="48" customFormat="false" ht="28.35" hidden="false" customHeight="false" outlineLevel="0" collapsed="false">
      <c r="A48" s="34" t="n">
        <v>2</v>
      </c>
      <c r="B48" s="25" t="str">
        <f aca="false">IFERROR(INDEX(Inventory_Data!$B$5:$B$104,MATCH($A48,Inventory_Data!$U$5:$U$104,0)),"")</f>
        <v>S004</v>
      </c>
      <c r="C48" s="25" t="str">
        <f aca="false">IFERROR(INDEX(Inventory_Data!$C$5:$C$104,MATCH($A48,Inventory_Data!$U$5:$U$104,0)),"")</f>
        <v>P0002</v>
      </c>
      <c r="D48" s="25" t="str">
        <f aca="false">IFERROR(INDEX(Inventory_Data!$D$5:$D$104,MATCH($A48,Inventory_Data!$U$5:$U$104,0)),"")</f>
        <v>Furniture</v>
      </c>
      <c r="E48" s="25" t="n">
        <f aca="false">IFERROR(INDEX(Inventory_Data!$F$5:$F$104,MATCH($A48,Inventory_Data!$U$5:$U$104,0)),"")</f>
        <v>181</v>
      </c>
      <c r="F48" s="25" t="n">
        <f aca="false">IFERROR(INDEX(Inventory_Data!$G$5:$G$104,MATCH($A48,Inventory_Data!$U$5:$U$104,0)),"")</f>
        <v>193</v>
      </c>
      <c r="G48" s="34" t="str">
        <f aca="false">IFERROR(INDEX(Inventory_Data!$I$5:$I$104,MATCH($A48,Inventory_Data!$U$5:$U$104,0)),"")</f>
        <v>REORDER NOW</v>
      </c>
      <c r="H48" s="35" t="str">
        <f aca="false">IFERROR(INDEX(Inventory_Data!$N$5:$N$104,MATCH($A48,Inventory_Data!$U$5:$U$104,0)),"")</f>
        <v>CRITICAL</v>
      </c>
      <c r="I48" s="31" t="n">
        <f aca="false">IFERROR(INDEX(Inventory_Data!$M$5:$M$104,MATCH($A48,Inventory_Data!$U$5:$U$104,0)),"")</f>
        <v>10.4</v>
      </c>
      <c r="J48" s="25" t="n">
        <f aca="false">IFERROR(INDEX(Inventory_Data!$K$5:$K$104,MATCH($A48,Inventory_Data!$U$5:$U$104,0)),"")</f>
        <v>12</v>
      </c>
      <c r="K48" s="36" t="str">
        <f aca="false">IFERROR(INDEX(Inventory_Data!$J$5:$J$104,MATCH($A48,Inventory_Data!$U$5:$U$104,0)),"")</f>
        <v>HomeCraft Suppliers</v>
      </c>
      <c r="L48" s="25" t="n">
        <f aca="false">IFERROR(INDEX(Inventory_Data!$O$5:$O$104,MATCH($A48,Inventory_Data!$U$5:$U$104,0)),"")</f>
        <v>398</v>
      </c>
      <c r="M48" s="30" t="n">
        <f aca="false">IFERROR(INDEX(Inventory_Data!$Q$5:$Q$104,MATCH($A48,Inventory_Data!$U$5:$U$104,0)),"")</f>
        <v>12198.7</v>
      </c>
      <c r="N48" s="36" t="str">
        <f aca="false">IFERROR(INDEX(Inventory_Data!$S$5:$S$104,MATCH($A48,Inventory_Data!$U$5:$U$104,0)),"")</f>
        <v>Order immediately - stock-out before delivery</v>
      </c>
    </row>
    <row r="49" customFormat="false" ht="28.35" hidden="false" customHeight="false" outlineLevel="0" collapsed="false">
      <c r="A49" s="34" t="n">
        <v>3</v>
      </c>
      <c r="B49" s="25" t="str">
        <f aca="false">IFERROR(INDEX(Inventory_Data!$B$5:$B$104,MATCH($A49,Inventory_Data!$U$5:$U$104,0)),"")</f>
        <v>S001</v>
      </c>
      <c r="C49" s="25" t="str">
        <f aca="false">IFERROR(INDEX(Inventory_Data!$C$5:$C$104,MATCH($A49,Inventory_Data!$U$5:$U$104,0)),"")</f>
        <v>P0019</v>
      </c>
      <c r="D49" s="25" t="str">
        <f aca="false">IFERROR(INDEX(Inventory_Data!$D$5:$D$104,MATCH($A49,Inventory_Data!$U$5:$U$104,0)),"")</f>
        <v>Clothing</v>
      </c>
      <c r="E49" s="25" t="n">
        <f aca="false">IFERROR(INDEX(Inventory_Data!$F$5:$F$104,MATCH($A49,Inventory_Data!$U$5:$U$104,0)),"")</f>
        <v>149</v>
      </c>
      <c r="F49" s="25" t="n">
        <f aca="false">IFERROR(INDEX(Inventory_Data!$G$5:$G$104,MATCH($A49,Inventory_Data!$U$5:$U$104,0)),"")</f>
        <v>155</v>
      </c>
      <c r="G49" s="34" t="str">
        <f aca="false">IFERROR(INDEX(Inventory_Data!$I$5:$I$104,MATCH($A49,Inventory_Data!$U$5:$U$104,0)),"")</f>
        <v>REORDER NOW</v>
      </c>
      <c r="H49" s="35" t="str">
        <f aca="false">IFERROR(INDEX(Inventory_Data!$N$5:$N$104,MATCH($A49,Inventory_Data!$U$5:$U$104,0)),"")</f>
        <v>CRITICAL</v>
      </c>
      <c r="I49" s="31" t="n">
        <f aca="false">IFERROR(INDEX(Inventory_Data!$M$5:$M$104,MATCH($A49,Inventory_Data!$U$5:$U$104,0)),"")</f>
        <v>4.9</v>
      </c>
      <c r="J49" s="25" t="n">
        <f aca="false">IFERROR(INDEX(Inventory_Data!$K$5:$K$104,MATCH($A49,Inventory_Data!$U$5:$U$104,0)),"")</f>
        <v>6</v>
      </c>
      <c r="K49" s="36" t="str">
        <f aca="false">IFERROR(INDEX(Inventory_Data!$J$5:$J$104,MATCH($A49,Inventory_Data!$U$5:$U$104,0)),"")</f>
        <v>StyleHub Wholesale</v>
      </c>
      <c r="L49" s="25" t="n">
        <f aca="false">IFERROR(INDEX(Inventory_Data!$O$5:$O$104,MATCH($A49,Inventory_Data!$U$5:$U$104,0)),"")</f>
        <v>316</v>
      </c>
      <c r="M49" s="30" t="n">
        <f aca="false">IFERROR(INDEX(Inventory_Data!$Q$5:$Q$104,MATCH($A49,Inventory_Data!$U$5:$U$104,0)),"")</f>
        <v>25820.36</v>
      </c>
      <c r="N49" s="36" t="str">
        <f aca="false">IFERROR(INDEX(Inventory_Data!$S$5:$S$104,MATCH($A49,Inventory_Data!$U$5:$U$104,0)),"")</f>
        <v>Order immediately - stock-out before delivery</v>
      </c>
    </row>
    <row r="50" customFormat="false" ht="28.35" hidden="false" customHeight="false" outlineLevel="0" collapsed="false">
      <c r="A50" s="34" t="n">
        <v>4</v>
      </c>
      <c r="B50" s="25" t="str">
        <f aca="false">IFERROR(INDEX(Inventory_Data!$B$5:$B$104,MATCH($A50,Inventory_Data!$U$5:$U$104,0)),"")</f>
        <v>S004</v>
      </c>
      <c r="C50" s="25" t="str">
        <f aca="false">IFERROR(INDEX(Inventory_Data!$C$5:$C$104,MATCH($A50,Inventory_Data!$U$5:$U$104,0)),"")</f>
        <v>P0001</v>
      </c>
      <c r="D50" s="25" t="str">
        <f aca="false">IFERROR(INDEX(Inventory_Data!$D$5:$D$104,MATCH($A50,Inventory_Data!$U$5:$U$104,0)),"")</f>
        <v>Electronics</v>
      </c>
      <c r="E50" s="25" t="n">
        <f aca="false">IFERROR(INDEX(Inventory_Data!$F$5:$F$104,MATCH($A50,Inventory_Data!$U$5:$U$104,0)),"")</f>
        <v>497</v>
      </c>
      <c r="F50" s="25" t="n">
        <f aca="false">IFERROR(INDEX(Inventory_Data!$G$5:$G$104,MATCH($A50,Inventory_Data!$U$5:$U$104,0)),"")</f>
        <v>490</v>
      </c>
      <c r="G50" s="34" t="str">
        <f aca="false">IFERROR(INDEX(Inventory_Data!$I$5:$I$104,MATCH($A50,Inventory_Data!$U$5:$U$104,0)),"")</f>
        <v>LOW STOCK</v>
      </c>
      <c r="H50" s="35" t="str">
        <f aca="false">IFERROR(INDEX(Inventory_Data!$N$5:$N$104,MATCH($A50,Inventory_Data!$U$5:$U$104,0)),"")</f>
        <v>CRITICAL</v>
      </c>
      <c r="I50" s="31" t="n">
        <f aca="false">IFERROR(INDEX(Inventory_Data!$M$5:$M$104,MATCH($A50,Inventory_Data!$U$5:$U$104,0)),"")</f>
        <v>5.5</v>
      </c>
      <c r="J50" s="25" t="n">
        <f aca="false">IFERROR(INDEX(Inventory_Data!$K$5:$K$104,MATCH($A50,Inventory_Data!$U$5:$U$104,0)),"")</f>
        <v>7</v>
      </c>
      <c r="K50" s="36" t="str">
        <f aca="false">IFERROR(INDEX(Inventory_Data!$J$5:$J$104,MATCH($A50,Inventory_Data!$U$5:$U$104,0)),"")</f>
        <v>TechSource India</v>
      </c>
      <c r="L50" s="25" t="n">
        <f aca="false">IFERROR(INDEX(Inventory_Data!$O$5:$O$104,MATCH($A50,Inventory_Data!$U$5:$U$104,0)),"")</f>
        <v>973</v>
      </c>
      <c r="M50" s="30" t="n">
        <f aca="false">IFERROR(INDEX(Inventory_Data!$Q$5:$Q$104,MATCH($A50,Inventory_Data!$U$5:$U$104,0)),"")</f>
        <v>41196.82</v>
      </c>
      <c r="N50" s="36" t="str">
        <f aca="false">IFERROR(INDEX(Inventory_Data!$S$5:$S$104,MATCH($A50,Inventory_Data!$U$5:$U$104,0)),"")</f>
        <v>Order immediately - stock-out before delivery</v>
      </c>
    </row>
    <row r="51" customFormat="false" ht="28.35" hidden="false" customHeight="false" outlineLevel="0" collapsed="false">
      <c r="A51" s="34" t="n">
        <v>5</v>
      </c>
      <c r="B51" s="25" t="str">
        <f aca="false">IFERROR(INDEX(Inventory_Data!$B$5:$B$104,MATCH($A51,Inventory_Data!$U$5:$U$104,0)),"")</f>
        <v>S002</v>
      </c>
      <c r="C51" s="25" t="str">
        <f aca="false">IFERROR(INDEX(Inventory_Data!$C$5:$C$104,MATCH($A51,Inventory_Data!$U$5:$U$104,0)),"")</f>
        <v>P0014</v>
      </c>
      <c r="D51" s="25" t="str">
        <f aca="false">IFERROR(INDEX(Inventory_Data!$D$5:$D$104,MATCH($A51,Inventory_Data!$U$5:$U$104,0)),"")</f>
        <v>Clothing</v>
      </c>
      <c r="E51" s="25" t="n">
        <f aca="false">IFERROR(INDEX(Inventory_Data!$F$5:$F$104,MATCH($A51,Inventory_Data!$U$5:$U$104,0)),"")</f>
        <v>342</v>
      </c>
      <c r="F51" s="25" t="n">
        <f aca="false">IFERROR(INDEX(Inventory_Data!$G$5:$G$104,MATCH($A51,Inventory_Data!$U$5:$U$104,0)),"")</f>
        <v>336</v>
      </c>
      <c r="G51" s="34" t="str">
        <f aca="false">IFERROR(INDEX(Inventory_Data!$I$5:$I$104,MATCH($A51,Inventory_Data!$U$5:$U$104,0)),"")</f>
        <v>LOW STOCK</v>
      </c>
      <c r="H51" s="35" t="str">
        <f aca="false">IFERROR(INDEX(Inventory_Data!$N$5:$N$104,MATCH($A51,Inventory_Data!$U$5:$U$104,0)),"")</f>
        <v>CRITICAL</v>
      </c>
      <c r="I51" s="31" t="n">
        <f aca="false">IFERROR(INDEX(Inventory_Data!$M$5:$M$104,MATCH($A51,Inventory_Data!$U$5:$U$104,0)),"")</f>
        <v>4.8</v>
      </c>
      <c r="J51" s="25" t="n">
        <f aca="false">IFERROR(INDEX(Inventory_Data!$K$5:$K$104,MATCH($A51,Inventory_Data!$U$5:$U$104,0)),"")</f>
        <v>6</v>
      </c>
      <c r="K51" s="36" t="str">
        <f aca="false">IFERROR(INDEX(Inventory_Data!$J$5:$J$104,MATCH($A51,Inventory_Data!$U$5:$U$104,0)),"")</f>
        <v>StyleHub Wholesale</v>
      </c>
      <c r="L51" s="25" t="n">
        <f aca="false">IFERROR(INDEX(Inventory_Data!$O$5:$O$104,MATCH($A51,Inventory_Data!$U$5:$U$104,0)),"")</f>
        <v>666</v>
      </c>
      <c r="M51" s="30" t="n">
        <f aca="false">IFERROR(INDEX(Inventory_Data!$Q$5:$Q$104,MATCH($A51,Inventory_Data!$U$5:$U$104,0)),"")</f>
        <v>46826.46</v>
      </c>
      <c r="N51" s="36" t="str">
        <f aca="false">IFERROR(INDEX(Inventory_Data!$S$5:$S$104,MATCH($A51,Inventory_Data!$U$5:$U$104,0)),"")</f>
        <v>Order immediately - stock-out before delivery</v>
      </c>
    </row>
    <row r="52" customFormat="false" ht="15" hidden="false" customHeight="false" outlineLevel="0" collapsed="false">
      <c r="A52" s="34" t="n">
        <v>6</v>
      </c>
      <c r="B52" s="25" t="str">
        <f aca="false">IFERROR(INDEX(Inventory_Data!$B$5:$B$104,MATCH($A52,Inventory_Data!$U$5:$U$104,0)),"")</f>
        <v>S001</v>
      </c>
      <c r="C52" s="25" t="str">
        <f aca="false">IFERROR(INDEX(Inventory_Data!$C$5:$C$104,MATCH($A52,Inventory_Data!$U$5:$U$104,0)),"")</f>
        <v>P0003</v>
      </c>
      <c r="D52" s="25" t="str">
        <f aca="false">IFERROR(INDEX(Inventory_Data!$D$5:$D$104,MATCH($A52,Inventory_Data!$U$5:$U$104,0)),"")</f>
        <v>Toys</v>
      </c>
      <c r="E52" s="25" t="n">
        <f aca="false">IFERROR(INDEX(Inventory_Data!$F$5:$F$104,MATCH($A52,Inventory_Data!$U$5:$U$104,0)),"")</f>
        <v>69</v>
      </c>
      <c r="F52" s="25" t="n">
        <f aca="false">IFERROR(INDEX(Inventory_Data!$G$5:$G$104,MATCH($A52,Inventory_Data!$U$5:$U$104,0)),"")</f>
        <v>77</v>
      </c>
      <c r="G52" s="34" t="str">
        <f aca="false">IFERROR(INDEX(Inventory_Data!$I$5:$I$104,MATCH($A52,Inventory_Data!$U$5:$U$104,0)),"")</f>
        <v>REORDER NOW</v>
      </c>
      <c r="H52" s="35" t="str">
        <f aca="false">IFERROR(INDEX(Inventory_Data!$N$5:$N$104,MATCH($A52,Inventory_Data!$U$5:$U$104,0)),"")</f>
        <v>HIGH</v>
      </c>
      <c r="I52" s="31" t="n">
        <f aca="false">IFERROR(INDEX(Inventory_Data!$M$5:$M$104,MATCH($A52,Inventory_Data!$U$5:$U$104,0)),"")</f>
        <v>5.2</v>
      </c>
      <c r="J52" s="25" t="n">
        <f aca="false">IFERROR(INDEX(Inventory_Data!$K$5:$K$104,MATCH($A52,Inventory_Data!$U$5:$U$104,0)),"")</f>
        <v>5</v>
      </c>
      <c r="K52" s="36" t="str">
        <f aca="false">IFERROR(INDEX(Inventory_Data!$J$5:$J$104,MATCH($A52,Inventory_Data!$U$5:$U$104,0)),"")</f>
        <v>PlayWorld Distributors</v>
      </c>
      <c r="L52" s="25" t="n">
        <f aca="false">IFERROR(INDEX(Inventory_Data!$O$5:$O$104,MATCH($A52,Inventory_Data!$U$5:$U$104,0)),"")</f>
        <v>162</v>
      </c>
      <c r="M52" s="30" t="n">
        <f aca="false">IFERROR(INDEX(Inventory_Data!$Q$5:$Q$104,MATCH($A52,Inventory_Data!$U$5:$U$104,0)),"")</f>
        <v>3554.28</v>
      </c>
      <c r="N52" s="36" t="str">
        <f aca="false">IFERROR(INDEX(Inventory_Data!$S$5:$S$104,MATCH($A52,Inventory_Data!$U$5:$U$104,0)),"")</f>
        <v>Raise purchase order today</v>
      </c>
    </row>
    <row r="53" customFormat="false" ht="15" hidden="false" customHeight="false" outlineLevel="0" collapsed="false">
      <c r="A53" s="34" t="n">
        <v>7</v>
      </c>
      <c r="B53" s="25" t="str">
        <f aca="false">IFERROR(INDEX(Inventory_Data!$B$5:$B$104,MATCH($A53,Inventory_Data!$U$5:$U$104,0)),"")</f>
        <v>S003</v>
      </c>
      <c r="C53" s="25" t="str">
        <f aca="false">IFERROR(INDEX(Inventory_Data!$C$5:$C$104,MATCH($A53,Inventory_Data!$U$5:$U$104,0)),"")</f>
        <v>P0007</v>
      </c>
      <c r="D53" s="25" t="str">
        <f aca="false">IFERROR(INDEX(Inventory_Data!$D$5:$D$104,MATCH($A53,Inventory_Data!$U$5:$U$104,0)),"")</f>
        <v>Electronics</v>
      </c>
      <c r="E53" s="25" t="n">
        <f aca="false">IFERROR(INDEX(Inventory_Data!$F$5:$F$104,MATCH($A53,Inventory_Data!$U$5:$U$104,0)),"")</f>
        <v>108</v>
      </c>
      <c r="F53" s="25" t="n">
        <f aca="false">IFERROR(INDEX(Inventory_Data!$G$5:$G$104,MATCH($A53,Inventory_Data!$U$5:$U$104,0)),"")</f>
        <v>109</v>
      </c>
      <c r="G53" s="34" t="str">
        <f aca="false">IFERROR(INDEX(Inventory_Data!$I$5:$I$104,MATCH($A53,Inventory_Data!$U$5:$U$104,0)),"")</f>
        <v>REORDER NOW</v>
      </c>
      <c r="H53" s="35" t="str">
        <f aca="false">IFERROR(INDEX(Inventory_Data!$N$5:$N$104,MATCH($A53,Inventory_Data!$U$5:$U$104,0)),"")</f>
        <v>HIGH</v>
      </c>
      <c r="I53" s="31" t="n">
        <f aca="false">IFERROR(INDEX(Inventory_Data!$M$5:$M$104,MATCH($A53,Inventory_Data!$U$5:$U$104,0)),"")</f>
        <v>9.2</v>
      </c>
      <c r="J53" s="25" t="n">
        <f aca="false">IFERROR(INDEX(Inventory_Data!$K$5:$K$104,MATCH($A53,Inventory_Data!$U$5:$U$104,0)),"")</f>
        <v>7</v>
      </c>
      <c r="K53" s="36" t="str">
        <f aca="false">IFERROR(INDEX(Inventory_Data!$J$5:$J$104,MATCH($A53,Inventory_Data!$U$5:$U$104,0)),"")</f>
        <v>TechSource India</v>
      </c>
      <c r="L53" s="25" t="n">
        <f aca="false">IFERROR(INDEX(Inventory_Data!$O$5:$O$104,MATCH($A53,Inventory_Data!$U$5:$U$104,0)),"")</f>
        <v>219</v>
      </c>
      <c r="M53" s="30" t="n">
        <f aca="false">IFERROR(INDEX(Inventory_Data!$Q$5:$Q$104,MATCH($A53,Inventory_Data!$U$5:$U$104,0)),"")</f>
        <v>12016.53</v>
      </c>
      <c r="N53" s="36" t="str">
        <f aca="false">IFERROR(INDEX(Inventory_Data!$S$5:$S$104,MATCH($A53,Inventory_Data!$U$5:$U$104,0)),"")</f>
        <v>Raise purchase order today</v>
      </c>
    </row>
    <row r="54" customFormat="false" ht="15" hidden="false" customHeight="false" outlineLevel="0" collapsed="false">
      <c r="A54" s="34" t="n">
        <v>8</v>
      </c>
      <c r="B54" s="25" t="str">
        <f aca="false">IFERROR(INDEX(Inventory_Data!$B$5:$B$104,MATCH($A54,Inventory_Data!$U$5:$U$104,0)),"")</f>
        <v>S004</v>
      </c>
      <c r="C54" s="25" t="str">
        <f aca="false">IFERROR(INDEX(Inventory_Data!$C$5:$C$104,MATCH($A54,Inventory_Data!$U$5:$U$104,0)),"")</f>
        <v>P0020</v>
      </c>
      <c r="D54" s="25" t="str">
        <f aca="false">IFERROR(INDEX(Inventory_Data!$D$5:$D$104,MATCH($A54,Inventory_Data!$U$5:$U$104,0)),"")</f>
        <v>Toys</v>
      </c>
      <c r="E54" s="25" t="n">
        <f aca="false">IFERROR(INDEX(Inventory_Data!$F$5:$F$104,MATCH($A54,Inventory_Data!$U$5:$U$104,0)),"")</f>
        <v>249</v>
      </c>
      <c r="F54" s="25" t="n">
        <f aca="false">IFERROR(INDEX(Inventory_Data!$G$5:$G$104,MATCH($A54,Inventory_Data!$U$5:$U$104,0)),"")</f>
        <v>248</v>
      </c>
      <c r="G54" s="34" t="str">
        <f aca="false">IFERROR(INDEX(Inventory_Data!$I$5:$I$104,MATCH($A54,Inventory_Data!$U$5:$U$104,0)),"")</f>
        <v>LOW STOCK</v>
      </c>
      <c r="H54" s="35" t="str">
        <f aca="false">IFERROR(INDEX(Inventory_Data!$N$5:$N$104,MATCH($A54,Inventory_Data!$U$5:$U$104,0)),"")</f>
        <v>MEDIUM</v>
      </c>
      <c r="I54" s="31" t="n">
        <f aca="false">IFERROR(INDEX(Inventory_Data!$M$5:$M$104,MATCH($A54,Inventory_Data!$U$5:$U$104,0)),"")</f>
        <v>5.9</v>
      </c>
      <c r="J54" s="25" t="n">
        <f aca="false">IFERROR(INDEX(Inventory_Data!$K$5:$K$104,MATCH($A54,Inventory_Data!$U$5:$U$104,0)),"")</f>
        <v>5</v>
      </c>
      <c r="K54" s="36" t="str">
        <f aca="false">IFERROR(INDEX(Inventory_Data!$J$5:$J$104,MATCH($A54,Inventory_Data!$U$5:$U$104,0)),"")</f>
        <v>PlayWorld Distributors</v>
      </c>
      <c r="L54" s="25" t="n">
        <f aca="false">IFERROR(INDEX(Inventory_Data!$O$5:$O$104,MATCH($A54,Inventory_Data!$U$5:$U$104,0)),"")</f>
        <v>495</v>
      </c>
      <c r="M54" s="30" t="n">
        <f aca="false">IFERROR(INDEX(Inventory_Data!$Q$5:$Q$104,MATCH($A54,Inventory_Data!$U$5:$U$104,0)),"")</f>
        <v>16270.65</v>
      </c>
      <c r="N54" s="36" t="str">
        <f aca="false">IFERROR(INDEX(Inventory_Data!$S$5:$S$104,MATCH($A54,Inventory_Data!$U$5:$U$104,0)),"")</f>
        <v>Plan reorder this week</v>
      </c>
    </row>
    <row r="55" customFormat="false" ht="15" hidden="false" customHeight="false" outlineLevel="0" collapsed="false">
      <c r="A55" s="34" t="n">
        <v>9</v>
      </c>
      <c r="B55" s="25" t="str">
        <f aca="false">IFERROR(INDEX(Inventory_Data!$B$5:$B$104,MATCH($A55,Inventory_Data!$U$5:$U$104,0)),"")</f>
        <v>S003</v>
      </c>
      <c r="C55" s="25" t="str">
        <f aca="false">IFERROR(INDEX(Inventory_Data!$C$5:$C$104,MATCH($A55,Inventory_Data!$U$5:$U$104,0)),"")</f>
        <v>P0010</v>
      </c>
      <c r="D55" s="25" t="str">
        <f aca="false">IFERROR(INDEX(Inventory_Data!$D$5:$D$104,MATCH($A55,Inventory_Data!$U$5:$U$104,0)),"")</f>
        <v>Furniture</v>
      </c>
      <c r="E55" s="25" t="n">
        <f aca="false">IFERROR(INDEX(Inventory_Data!$F$5:$F$104,MATCH($A55,Inventory_Data!$U$5:$U$104,0)),"")</f>
        <v>413</v>
      </c>
      <c r="F55" s="25" t="n">
        <f aca="false">IFERROR(INDEX(Inventory_Data!$G$5:$G$104,MATCH($A55,Inventory_Data!$U$5:$U$104,0)),"")</f>
        <v>409</v>
      </c>
      <c r="G55" s="34" t="str">
        <f aca="false">IFERROR(INDEX(Inventory_Data!$I$5:$I$104,MATCH($A55,Inventory_Data!$U$5:$U$104,0)),"")</f>
        <v>LOW STOCK</v>
      </c>
      <c r="H55" s="35" t="str">
        <f aca="false">IFERROR(INDEX(Inventory_Data!$N$5:$N$104,MATCH($A55,Inventory_Data!$U$5:$U$104,0)),"")</f>
        <v>MEDIUM</v>
      </c>
      <c r="I55" s="31" t="n">
        <f aca="false">IFERROR(INDEX(Inventory_Data!$M$5:$M$104,MATCH($A55,Inventory_Data!$U$5:$U$104,0)),"")</f>
        <v>13.2</v>
      </c>
      <c r="J55" s="25" t="n">
        <f aca="false">IFERROR(INDEX(Inventory_Data!$K$5:$K$104,MATCH($A55,Inventory_Data!$U$5:$U$104,0)),"")</f>
        <v>12</v>
      </c>
      <c r="K55" s="36" t="str">
        <f aca="false">IFERROR(INDEX(Inventory_Data!$J$5:$J$104,MATCH($A55,Inventory_Data!$U$5:$U$104,0)),"")</f>
        <v>HomeCraft Suppliers</v>
      </c>
      <c r="L55" s="25" t="n">
        <f aca="false">IFERROR(INDEX(Inventory_Data!$O$5:$O$104,MATCH($A55,Inventory_Data!$U$5:$U$104,0)),"")</f>
        <v>814</v>
      </c>
      <c r="M55" s="30" t="n">
        <f aca="false">IFERROR(INDEX(Inventory_Data!$Q$5:$Q$104,MATCH($A55,Inventory_Data!$U$5:$U$104,0)),"")</f>
        <v>65828.18</v>
      </c>
      <c r="N55" s="36" t="str">
        <f aca="false">IFERROR(INDEX(Inventory_Data!$S$5:$S$104,MATCH($A55,Inventory_Data!$U$5:$U$104,0)),"")</f>
        <v>Plan reorder this week</v>
      </c>
    </row>
    <row r="56" customFormat="false" ht="15" hidden="false" customHeight="false" outlineLevel="0" collapsed="false">
      <c r="A56" s="34" t="n">
        <v>10</v>
      </c>
      <c r="B56" s="25" t="str">
        <f aca="false">IFERROR(INDEX(Inventory_Data!$B$5:$B$104,MATCH($A56,Inventory_Data!$U$5:$U$104,0)),"")</f>
        <v>S004</v>
      </c>
      <c r="C56" s="25" t="str">
        <f aca="false">IFERROR(INDEX(Inventory_Data!$C$5:$C$104,MATCH($A56,Inventory_Data!$U$5:$U$104,0)),"")</f>
        <v>P0008</v>
      </c>
      <c r="D56" s="25" t="str">
        <f aca="false">IFERROR(INDEX(Inventory_Data!$D$5:$D$104,MATCH($A56,Inventory_Data!$U$5:$U$104,0)),"")</f>
        <v>Furniture</v>
      </c>
      <c r="E56" s="25" t="n">
        <f aca="false">IFERROR(INDEX(Inventory_Data!$F$5:$F$104,MATCH($A56,Inventory_Data!$U$5:$U$104,0)),"")</f>
        <v>390</v>
      </c>
      <c r="F56" s="25" t="n">
        <f aca="false">IFERROR(INDEX(Inventory_Data!$G$5:$G$104,MATCH($A56,Inventory_Data!$U$5:$U$104,0)),"")</f>
        <v>369</v>
      </c>
      <c r="G56" s="34" t="str">
        <f aca="false">IFERROR(INDEX(Inventory_Data!$I$5:$I$104,MATCH($A56,Inventory_Data!$U$5:$U$104,0)),"")</f>
        <v>LOW STOCK</v>
      </c>
      <c r="H56" s="35" t="str">
        <f aca="false">IFERROR(INDEX(Inventory_Data!$N$5:$N$104,MATCH($A56,Inventory_Data!$U$5:$U$104,0)),"")</f>
        <v>MEDIUM</v>
      </c>
      <c r="I56" s="31" t="n">
        <f aca="false">IFERROR(INDEX(Inventory_Data!$M$5:$M$104,MATCH($A56,Inventory_Data!$U$5:$U$104,0)),"")</f>
        <v>17.6</v>
      </c>
      <c r="J56" s="25" t="n">
        <f aca="false">IFERROR(INDEX(Inventory_Data!$K$5:$K$104,MATCH($A56,Inventory_Data!$U$5:$U$104,0)),"")</f>
        <v>12</v>
      </c>
      <c r="K56" s="36" t="str">
        <f aca="false">IFERROR(INDEX(Inventory_Data!$J$5:$J$104,MATCH($A56,Inventory_Data!$U$5:$U$104,0)),"")</f>
        <v>HomeCraft Suppliers</v>
      </c>
      <c r="L56" s="25" t="n">
        <f aca="false">IFERROR(INDEX(Inventory_Data!$O$5:$O$104,MATCH($A56,Inventory_Data!$U$5:$U$104,0)),"")</f>
        <v>717</v>
      </c>
      <c r="M56" s="30" t="n">
        <f aca="false">IFERROR(INDEX(Inventory_Data!$Q$5:$Q$104,MATCH($A56,Inventory_Data!$U$5:$U$104,0)),"")</f>
        <v>57833.22</v>
      </c>
      <c r="N56" s="36" t="str">
        <f aca="false">IFERROR(INDEX(Inventory_Data!$S$5:$S$104,MATCH($A56,Inventory_Data!$U$5:$U$104,0)),"")</f>
        <v>Plan reorder this week</v>
      </c>
    </row>
  </sheetData>
  <mergeCells count="21">
    <mergeCell ref="A1:N1"/>
    <mergeCell ref="A2:N2"/>
    <mergeCell ref="B4:C4"/>
    <mergeCell ref="E4:F4"/>
    <mergeCell ref="A6:B6"/>
    <mergeCell ref="C6:D6"/>
    <mergeCell ref="E6:F6"/>
    <mergeCell ref="G6:H6"/>
    <mergeCell ref="I6:J6"/>
    <mergeCell ref="K6:L6"/>
    <mergeCell ref="M6:N6"/>
    <mergeCell ref="A7:B7"/>
    <mergeCell ref="C7:D7"/>
    <mergeCell ref="E7:F7"/>
    <mergeCell ref="G7:H7"/>
    <mergeCell ref="I7:J7"/>
    <mergeCell ref="K7:L7"/>
    <mergeCell ref="M7:N7"/>
    <mergeCell ref="A10:N10"/>
    <mergeCell ref="A28:N28"/>
    <mergeCell ref="A45:N45"/>
  </mergeCells>
  <conditionalFormatting sqref="H38:H40">
    <cfRule type="cellIs" priority="2" operator="equal" aboveAverage="0" equalAverage="0" bottom="0" percent="0" rank="0" text="" dxfId="0">
      <formula>"CRITICAL"</formula>
    </cfRule>
    <cfRule type="cellIs" priority="3" operator="equal" aboveAverage="0" equalAverage="0" bottom="0" percent="0" rank="0" text="" dxfId="1">
      <formula>"HIGH"</formula>
    </cfRule>
    <cfRule type="cellIs" priority="4" operator="equal" aboveAverage="0" equalAverage="0" bottom="0" percent="0" rank="0" text="" dxfId="2">
      <formula>"MEDIUM"</formula>
    </cfRule>
  </conditionalFormatting>
  <conditionalFormatting sqref="G47:G56">
    <cfRule type="cellIs" priority="5" operator="equal" aboveAverage="0" equalAverage="0" bottom="0" percent="0" rank="0" text="" dxfId="1">
      <formula>"REORDER NOW"</formula>
    </cfRule>
    <cfRule type="cellIs" priority="6" operator="equal" aboveAverage="0" equalAverage="0" bottom="0" percent="0" rank="0" text="" dxfId="2">
      <formula>"LOW STOCK"</formula>
    </cfRule>
    <cfRule type="cellIs" priority="7" operator="equal" aboveAverage="0" equalAverage="0" bottom="0" percent="0" rank="0" text="" dxfId="3">
      <formula>"IN STOCK"</formula>
    </cfRule>
  </conditionalFormatting>
  <conditionalFormatting sqref="H47:H56">
    <cfRule type="cellIs" priority="8" operator="equal" aboveAverage="0" equalAverage="0" bottom="0" percent="0" rank="0" text="" dxfId="0">
      <formula>"CRITICAL"</formula>
    </cfRule>
    <cfRule type="cellIs" priority="9" operator="equal" aboveAverage="0" equalAverage="0" bottom="0" percent="0" rank="0" text="" dxfId="1">
      <formula>"HIGH"</formula>
    </cfRule>
    <cfRule type="cellIs" priority="10" operator="equal" aboveAverage="0" equalAverage="0" bottom="0" percent="0" rank="0" text="" dxfId="2">
      <formula>"MEDIUM"</formula>
    </cfRule>
  </conditionalFormatting>
  <dataValidations count="2">
    <dataValidation allowBlank="false" errorStyle="stop" operator="between" showDropDown="false" showErrorMessage="false" showInputMessage="false" sqref="B4" type="list">
      <formula1>Settings!$E$5:$E$10</formula1>
      <formula2>0</formula2>
    </dataValidation>
    <dataValidation allowBlank="false" errorStyle="stop" operator="between" showDropDown="false" showErrorMessage="false" showInputMessage="false" sqref="E4" type="list">
      <formula1>Settings!$F$5:$F$10</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U1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1"/>
    <col collapsed="false" customWidth="true" hidden="false" outlineLevel="0" max="3" min="3" style="0" width="12"/>
    <col collapsed="false" customWidth="true" hidden="false" outlineLevel="0" max="4" min="4" style="0" width="16"/>
    <col collapsed="false" customWidth="true" hidden="false" outlineLevel="0" max="5" min="5" style="0" width="13"/>
    <col collapsed="false" customWidth="true" hidden="false" outlineLevel="0" max="6" min="6" style="0" width="15"/>
    <col collapsed="false" customWidth="true" hidden="false" outlineLevel="0" max="8" min="7" style="0" width="16"/>
    <col collapsed="false" customWidth="true" hidden="false" outlineLevel="0" max="9" min="9" style="0" width="18"/>
    <col collapsed="false" customWidth="true" hidden="false" outlineLevel="0" max="10" min="10" style="0" width="24"/>
    <col collapsed="false" customWidth="true" hidden="false" outlineLevel="0" max="11" min="11" style="0" width="13"/>
    <col collapsed="false" customWidth="true" hidden="false" outlineLevel="0" max="12" min="12" style="0" width="17"/>
    <col collapsed="false" customWidth="true" hidden="false" outlineLevel="0" max="14" min="13" style="0" width="13"/>
    <col collapsed="false" customWidth="true" hidden="false" outlineLevel="0" max="15" min="15" style="0" width="17"/>
    <col collapsed="false" customWidth="true" hidden="false" outlineLevel="0" max="17" min="16" style="0" width="15"/>
    <col collapsed="false" customWidth="true" hidden="false" outlineLevel="0" max="18" min="18" style="0" width="16"/>
    <col collapsed="false" customWidth="true" hidden="false" outlineLevel="0" max="19" min="19" style="0" width="42"/>
    <col collapsed="false" customWidth="true" hidden="false" outlineLevel="0" max="20" min="20" style="0" width="14"/>
    <col collapsed="false" customWidth="true" hidden="false" outlineLevel="0" max="21" min="21" style="0" width="12"/>
  </cols>
  <sheetData>
    <row r="1" customFormat="false" ht="30" hidden="false" customHeight="true" outlineLevel="0" collapsed="false">
      <c r="A1" s="37" t="s">
        <v>0</v>
      </c>
      <c r="B1" s="37"/>
      <c r="C1" s="37"/>
      <c r="D1" s="37"/>
      <c r="E1" s="37"/>
      <c r="F1" s="37"/>
      <c r="G1" s="37"/>
      <c r="H1" s="37"/>
      <c r="I1" s="37"/>
      <c r="J1" s="37"/>
      <c r="K1" s="37"/>
      <c r="L1" s="37"/>
      <c r="M1" s="37"/>
      <c r="N1" s="37"/>
      <c r="O1" s="37"/>
      <c r="P1" s="37"/>
      <c r="Q1" s="37"/>
      <c r="R1" s="37"/>
      <c r="S1" s="37"/>
      <c r="T1" s="37"/>
      <c r="U1" s="37"/>
    </row>
    <row r="2" customFormat="false" ht="15" hidden="false" customHeight="false" outlineLevel="0" collapsed="false">
      <c r="A2" s="38" t="s">
        <v>88</v>
      </c>
      <c r="B2" s="38"/>
      <c r="C2" s="38"/>
      <c r="D2" s="38"/>
      <c r="E2" s="38"/>
      <c r="F2" s="38"/>
      <c r="G2" s="38"/>
      <c r="H2" s="38"/>
      <c r="I2" s="38"/>
      <c r="J2" s="38"/>
      <c r="K2" s="38"/>
      <c r="L2" s="38"/>
      <c r="M2" s="38"/>
      <c r="N2" s="38"/>
      <c r="O2" s="38"/>
      <c r="P2" s="38"/>
      <c r="Q2" s="38"/>
      <c r="R2" s="38"/>
      <c r="S2" s="38"/>
      <c r="T2" s="38"/>
      <c r="U2" s="38"/>
    </row>
    <row r="4" customFormat="false" ht="31.5" hidden="false" customHeight="true" outlineLevel="0" collapsed="false">
      <c r="A4" s="39" t="s">
        <v>89</v>
      </c>
      <c r="B4" s="39" t="s">
        <v>90</v>
      </c>
      <c r="C4" s="39" t="s">
        <v>78</v>
      </c>
      <c r="D4" s="39" t="s">
        <v>37</v>
      </c>
      <c r="E4" s="39" t="s">
        <v>61</v>
      </c>
      <c r="F4" s="39" t="s">
        <v>79</v>
      </c>
      <c r="G4" s="39" t="s">
        <v>80</v>
      </c>
      <c r="H4" s="39" t="s">
        <v>91</v>
      </c>
      <c r="I4" s="39" t="s">
        <v>92</v>
      </c>
      <c r="J4" s="40" t="s">
        <v>84</v>
      </c>
      <c r="K4" s="40" t="s">
        <v>83</v>
      </c>
      <c r="L4" s="41" t="s">
        <v>93</v>
      </c>
      <c r="M4" s="40" t="s">
        <v>82</v>
      </c>
      <c r="N4" s="40" t="s">
        <v>62</v>
      </c>
      <c r="O4" s="40" t="s">
        <v>94</v>
      </c>
      <c r="P4" s="40" t="s">
        <v>95</v>
      </c>
      <c r="Q4" s="40" t="s">
        <v>96</v>
      </c>
      <c r="R4" s="40" t="s">
        <v>97</v>
      </c>
      <c r="S4" s="40" t="s">
        <v>87</v>
      </c>
      <c r="T4" s="42" t="s">
        <v>98</v>
      </c>
      <c r="U4" s="42" t="s">
        <v>99</v>
      </c>
    </row>
    <row r="5" customFormat="false" ht="15" hidden="false" customHeight="false" outlineLevel="0" collapsed="false">
      <c r="A5" s="43" t="n">
        <v>45292</v>
      </c>
      <c r="B5" s="44" t="s">
        <v>50</v>
      </c>
      <c r="C5" s="44" t="s">
        <v>100</v>
      </c>
      <c r="D5" s="44" t="s">
        <v>59</v>
      </c>
      <c r="E5" s="44" t="s">
        <v>68</v>
      </c>
      <c r="F5" s="45" t="n">
        <v>223</v>
      </c>
      <c r="G5" s="45" t="n">
        <v>54</v>
      </c>
      <c r="H5" s="46" t="n">
        <v>55.26</v>
      </c>
      <c r="I5" s="47" t="str">
        <f aca="false">IF(F5&lt;=G5,"REORDER NOW",IF(F5&lt;=G5*(1+Settings!$B$5),"LOW STOCK","IN STOCK"))</f>
        <v>IN STOCK</v>
      </c>
      <c r="J5" s="48" t="str">
        <f aca="false">IFERROR(INDEX(Suppliers!$B$5:$B$9,MATCH(D5,Suppliers!$C$5:$C$9,0)),"Unassigned")</f>
        <v>PlayWorld Distributors</v>
      </c>
      <c r="K5" s="49" t="n">
        <f aca="false">IFERROR(INDEX(Suppliers!$D$5:$D$9,MATCH(D5,Suppliers!$C$5:$C$9,0)),0)</f>
        <v>5</v>
      </c>
      <c r="L5" s="50" t="n">
        <v>11.7</v>
      </c>
      <c r="M5" s="51" t="n">
        <f aca="false">IF(L5&gt;0,ROUND(F5/L5,1),"")</f>
        <v>19.1</v>
      </c>
      <c r="N5" s="52" t="str">
        <f aca="false">IF(I5="IN STOCK","-",IF(AND(M5&lt;&gt;"",M5&lt;K5),"CRITICAL",IF(I5="REORDER NOW","HIGH","MEDIUM")))</f>
        <v>-</v>
      </c>
      <c r="O5" s="49" t="n">
        <f aca="false">IF(I5="IN STOCK",0,MAX(0,ROUNDUP(G5*Settings!$B$6,0)-F5))</f>
        <v>0</v>
      </c>
      <c r="P5" s="53" t="n">
        <f aca="false">F5*H5</f>
        <v>12322.98</v>
      </c>
      <c r="Q5" s="53" t="n">
        <f aca="false">O5*H5</f>
        <v>0</v>
      </c>
      <c r="R5" s="54" t="str">
        <f aca="false">IF(I5="IN STOCK","",Settings!$B$7+K5)</f>
        <v/>
      </c>
      <c r="S5" s="48" t="str">
        <f aca="false">IF(N5="CRITICAL","Order immediately - stock-out before delivery",IF(N5="HIGH","Raise purchase order today",IF(N5="MEDIUM","Plan reorder this week","No action required")))</f>
        <v>No action required</v>
      </c>
      <c r="T5" s="55" t="n">
        <f aca="false">IF(I5="IN STOCK",0,IF(N5="CRITICAL",30,IF(N5="HIGH",20,10))+IF(G5&gt;0,(G5-F5)/G5,0)+ROW()/10000000)</f>
        <v>0</v>
      </c>
      <c r="U5" s="56" t="str">
        <f aca="false">IF(T5&gt;0,SUMPRODUCT(--($T$5:$T$104&gt;T5))+1,"")</f>
        <v/>
      </c>
    </row>
    <row r="6" customFormat="false" ht="15" hidden="false" customHeight="false" outlineLevel="0" collapsed="false">
      <c r="A6" s="43" t="n">
        <v>45292</v>
      </c>
      <c r="B6" s="44" t="s">
        <v>50</v>
      </c>
      <c r="C6" s="44" t="s">
        <v>101</v>
      </c>
      <c r="D6" s="44" t="s">
        <v>55</v>
      </c>
      <c r="E6" s="44" t="s">
        <v>74</v>
      </c>
      <c r="F6" s="45" t="n">
        <v>217</v>
      </c>
      <c r="G6" s="45" t="n">
        <v>101</v>
      </c>
      <c r="H6" s="46" t="n">
        <v>44.84</v>
      </c>
      <c r="I6" s="47" t="str">
        <f aca="false">IF(F6&lt;=G6,"REORDER NOW",IF(F6&lt;=G6*(1+Settings!$B$5),"LOW STOCK","IN STOCK"))</f>
        <v>IN STOCK</v>
      </c>
      <c r="J6" s="48" t="str">
        <f aca="false">IFERROR(INDEX(Suppliers!$B$5:$B$9,MATCH(D6,Suppliers!$C$5:$C$9,0)),"Unassigned")</f>
        <v>HomeCraft Suppliers</v>
      </c>
      <c r="K6" s="49" t="n">
        <f aca="false">IFERROR(INDEX(Suppliers!$D$5:$D$9,MATCH(D6,Suppliers!$C$5:$C$9,0)),0)</f>
        <v>12</v>
      </c>
      <c r="L6" s="50" t="n">
        <v>6</v>
      </c>
      <c r="M6" s="51" t="n">
        <f aca="false">IF(L6&gt;0,ROUND(F6/L6,1),"")</f>
        <v>36.2</v>
      </c>
      <c r="N6" s="52" t="str">
        <f aca="false">IF(I6="IN STOCK","-",IF(AND(M6&lt;&gt;"",M6&lt;K6),"CRITICAL",IF(I6="REORDER NOW","HIGH","MEDIUM")))</f>
        <v>-</v>
      </c>
      <c r="O6" s="49" t="n">
        <f aca="false">IF(I6="IN STOCK",0,MAX(0,ROUNDUP(G6*Settings!$B$6,0)-F6))</f>
        <v>0</v>
      </c>
      <c r="P6" s="53" t="n">
        <f aca="false">F6*H6</f>
        <v>9730.28</v>
      </c>
      <c r="Q6" s="53" t="n">
        <f aca="false">O6*H6</f>
        <v>0</v>
      </c>
      <c r="R6" s="54" t="str">
        <f aca="false">IF(I6="IN STOCK","",Settings!$B$7+K6)</f>
        <v/>
      </c>
      <c r="S6" s="48" t="str">
        <f aca="false">IF(N6="CRITICAL","Order immediately - stock-out before delivery",IF(N6="HIGH","Raise purchase order today",IF(N6="MEDIUM","Plan reorder this week","No action required")))</f>
        <v>No action required</v>
      </c>
      <c r="T6" s="55" t="n">
        <f aca="false">IF(I6="IN STOCK",0,IF(N6="CRITICAL",30,IF(N6="HIGH",20,10))+IF(G6&gt;0,(G6-F6)/G6,0)+ROW()/10000000)</f>
        <v>0</v>
      </c>
      <c r="U6" s="56" t="str">
        <f aca="false">IF(T6&gt;0,SUMPRODUCT(--($T$5:$T$104&gt;T6))+1,"")</f>
        <v/>
      </c>
    </row>
    <row r="7" customFormat="false" ht="15" hidden="false" customHeight="false" outlineLevel="0" collapsed="false">
      <c r="A7" s="43" t="n">
        <v>45292</v>
      </c>
      <c r="B7" s="44" t="s">
        <v>50</v>
      </c>
      <c r="C7" s="44" t="s">
        <v>102</v>
      </c>
      <c r="D7" s="44" t="s">
        <v>59</v>
      </c>
      <c r="E7" s="44" t="s">
        <v>68</v>
      </c>
      <c r="F7" s="45" t="n">
        <v>69</v>
      </c>
      <c r="G7" s="45" t="n">
        <v>77</v>
      </c>
      <c r="H7" s="46" t="n">
        <v>21.94</v>
      </c>
      <c r="I7" s="47" t="str">
        <f aca="false">IF(F7&lt;=G7,"REORDER NOW",IF(F7&lt;=G7*(1+Settings!$B$5),"LOW STOCK","IN STOCK"))</f>
        <v>REORDER NOW</v>
      </c>
      <c r="J7" s="48" t="str">
        <f aca="false">IFERROR(INDEX(Suppliers!$B$5:$B$9,MATCH(D7,Suppliers!$C$5:$C$9,0)),"Unassigned")</f>
        <v>PlayWorld Distributors</v>
      </c>
      <c r="K7" s="49" t="n">
        <f aca="false">IFERROR(INDEX(Suppliers!$D$5:$D$9,MATCH(D7,Suppliers!$C$5:$C$9,0)),0)</f>
        <v>5</v>
      </c>
      <c r="L7" s="50" t="n">
        <v>13.3</v>
      </c>
      <c r="M7" s="51" t="n">
        <f aca="false">IF(L7&gt;0,ROUND(F7/L7,1),"")</f>
        <v>5.2</v>
      </c>
      <c r="N7" s="52" t="str">
        <f aca="false">IF(I7="IN STOCK","-",IF(AND(M7&lt;&gt;"",M7&lt;K7),"CRITICAL",IF(I7="REORDER NOW","HIGH","MEDIUM")))</f>
        <v>HIGH</v>
      </c>
      <c r="O7" s="49" t="n">
        <f aca="false">IF(I7="IN STOCK",0,MAX(0,ROUNDUP(G7*Settings!$B$6,0)-F7))</f>
        <v>162</v>
      </c>
      <c r="P7" s="53" t="n">
        <f aca="false">F7*H7</f>
        <v>1513.86</v>
      </c>
      <c r="Q7" s="53" t="n">
        <f aca="false">O7*H7</f>
        <v>3554.28</v>
      </c>
      <c r="R7" s="54" t="n">
        <f aca="false">IF(I7="IN STOCK","",Settings!$B$7+K7)</f>
        <v>45297</v>
      </c>
      <c r="S7" s="48" t="str">
        <f aca="false">IF(N7="CRITICAL","Order immediately - stock-out before delivery",IF(N7="HIGH","Raise purchase order today",IF(N7="MEDIUM","Plan reorder this week","No action required")))</f>
        <v>Raise purchase order today</v>
      </c>
      <c r="T7" s="55" t="n">
        <f aca="false">IF(I7="IN STOCK",0,IF(N7="CRITICAL",30,IF(N7="HIGH",20,10))+IF(G7&gt;0,(G7-F7)/G7,0)+ROW()/10000000)</f>
        <v>20.1038968038961</v>
      </c>
      <c r="U7" s="56" t="n">
        <f aca="false">IF(T7&gt;0,SUMPRODUCT(--($T$5:$T$104&gt;T7))+1,"")</f>
        <v>6</v>
      </c>
    </row>
    <row r="8" customFormat="false" ht="15" hidden="false" customHeight="false" outlineLevel="0" collapsed="false">
      <c r="A8" s="43" t="n">
        <v>45292</v>
      </c>
      <c r="B8" s="44" t="s">
        <v>50</v>
      </c>
      <c r="C8" s="44" t="s">
        <v>103</v>
      </c>
      <c r="D8" s="44" t="s">
        <v>57</v>
      </c>
      <c r="E8" s="44" t="s">
        <v>74</v>
      </c>
      <c r="F8" s="45" t="n">
        <v>338</v>
      </c>
      <c r="G8" s="45" t="n">
        <v>192</v>
      </c>
      <c r="H8" s="46" t="n">
        <v>86.37</v>
      </c>
      <c r="I8" s="47" t="str">
        <f aca="false">IF(F8&lt;=G8,"REORDER NOW",IF(F8&lt;=G8*(1+Settings!$B$5),"LOW STOCK","IN STOCK"))</f>
        <v>IN STOCK</v>
      </c>
      <c r="J8" s="48" t="str">
        <f aca="false">IFERROR(INDEX(Suppliers!$B$5:$B$9,MATCH(D8,Suppliers!$C$5:$C$9,0)),"Unassigned")</f>
        <v>FreshLink Traders</v>
      </c>
      <c r="K8" s="49" t="n">
        <f aca="false">IFERROR(INDEX(Suppliers!$D$5:$D$9,MATCH(D8,Suppliers!$C$5:$C$9,0)),0)</f>
        <v>2</v>
      </c>
      <c r="L8" s="50" t="n">
        <v>80.1</v>
      </c>
      <c r="M8" s="51" t="n">
        <f aca="false">IF(L8&gt;0,ROUND(F8/L8,1),"")</f>
        <v>4.2</v>
      </c>
      <c r="N8" s="52" t="str">
        <f aca="false">IF(I8="IN STOCK","-",IF(AND(M8&lt;&gt;"",M8&lt;K8),"CRITICAL",IF(I8="REORDER NOW","HIGH","MEDIUM")))</f>
        <v>-</v>
      </c>
      <c r="O8" s="49" t="n">
        <f aca="false">IF(I8="IN STOCK",0,MAX(0,ROUNDUP(G8*Settings!$B$6,0)-F8))</f>
        <v>0</v>
      </c>
      <c r="P8" s="53" t="n">
        <f aca="false">F8*H8</f>
        <v>29193.06</v>
      </c>
      <c r="Q8" s="53" t="n">
        <f aca="false">O8*H8</f>
        <v>0</v>
      </c>
      <c r="R8" s="54" t="str">
        <f aca="false">IF(I8="IN STOCK","",Settings!$B$7+K8)</f>
        <v/>
      </c>
      <c r="S8" s="48" t="str">
        <f aca="false">IF(N8="CRITICAL","Order immediately - stock-out before delivery",IF(N8="HIGH","Raise purchase order today",IF(N8="MEDIUM","Plan reorder this week","No action required")))</f>
        <v>No action required</v>
      </c>
      <c r="T8" s="55" t="n">
        <f aca="false">IF(I8="IN STOCK",0,IF(N8="CRITICAL",30,IF(N8="HIGH",20,10))+IF(G8&gt;0,(G8-F8)/G8,0)+ROW()/10000000)</f>
        <v>0</v>
      </c>
      <c r="U8" s="56" t="str">
        <f aca="false">IF(T8&gt;0,SUMPRODUCT(--($T$5:$T$104&gt;T8))+1,"")</f>
        <v/>
      </c>
    </row>
    <row r="9" customFormat="false" ht="15" hidden="false" customHeight="false" outlineLevel="0" collapsed="false">
      <c r="A9" s="43" t="n">
        <v>45292</v>
      </c>
      <c r="B9" s="44" t="s">
        <v>50</v>
      </c>
      <c r="C9" s="44" t="s">
        <v>104</v>
      </c>
      <c r="D9" s="44" t="s">
        <v>57</v>
      </c>
      <c r="E9" s="44" t="s">
        <v>70</v>
      </c>
      <c r="F9" s="45" t="n">
        <v>471</v>
      </c>
      <c r="G9" s="45" t="n">
        <v>267</v>
      </c>
      <c r="H9" s="46" t="n">
        <v>15.58</v>
      </c>
      <c r="I9" s="47" t="str">
        <f aca="false">IF(F9&lt;=G9,"REORDER NOW",IF(F9&lt;=G9*(1+Settings!$B$5),"LOW STOCK","IN STOCK"))</f>
        <v>IN STOCK</v>
      </c>
      <c r="J9" s="48" t="str">
        <f aca="false">IFERROR(INDEX(Suppliers!$B$5:$B$9,MATCH(D9,Suppliers!$C$5:$C$9,0)),"Unassigned")</f>
        <v>FreshLink Traders</v>
      </c>
      <c r="K9" s="49" t="n">
        <f aca="false">IFERROR(INDEX(Suppliers!$D$5:$D$9,MATCH(D9,Suppliers!$C$5:$C$9,0)),0)</f>
        <v>2</v>
      </c>
      <c r="L9" s="50" t="n">
        <v>152.4</v>
      </c>
      <c r="M9" s="51" t="n">
        <f aca="false">IF(L9&gt;0,ROUND(F9/L9,1),"")</f>
        <v>3.1</v>
      </c>
      <c r="N9" s="52" t="str">
        <f aca="false">IF(I9="IN STOCK","-",IF(AND(M9&lt;&gt;"",M9&lt;K9),"CRITICAL",IF(I9="REORDER NOW","HIGH","MEDIUM")))</f>
        <v>-</v>
      </c>
      <c r="O9" s="49" t="n">
        <f aca="false">IF(I9="IN STOCK",0,MAX(0,ROUNDUP(G9*Settings!$B$6,0)-F9))</f>
        <v>0</v>
      </c>
      <c r="P9" s="53" t="n">
        <f aca="false">F9*H9</f>
        <v>7338.18</v>
      </c>
      <c r="Q9" s="53" t="n">
        <f aca="false">O9*H9</f>
        <v>0</v>
      </c>
      <c r="R9" s="54" t="str">
        <f aca="false">IF(I9="IN STOCK","",Settings!$B$7+K9)</f>
        <v/>
      </c>
      <c r="S9" s="48" t="str">
        <f aca="false">IF(N9="CRITICAL","Order immediately - stock-out before delivery",IF(N9="HIGH","Raise purchase order today",IF(N9="MEDIUM","Plan reorder this week","No action required")))</f>
        <v>No action required</v>
      </c>
      <c r="T9" s="55" t="n">
        <f aca="false">IF(I9="IN STOCK",0,IF(N9="CRITICAL",30,IF(N9="HIGH",20,10))+IF(G9&gt;0,(G9-F9)/G9,0)+ROW()/10000000)</f>
        <v>0</v>
      </c>
      <c r="U9" s="56" t="str">
        <f aca="false">IF(T9&gt;0,SUMPRODUCT(--($T$5:$T$104&gt;T9))+1,"")</f>
        <v/>
      </c>
    </row>
    <row r="10" customFormat="false" ht="15" hidden="false" customHeight="false" outlineLevel="0" collapsed="false">
      <c r="A10" s="43" t="n">
        <v>45292</v>
      </c>
      <c r="B10" s="44" t="s">
        <v>50</v>
      </c>
      <c r="C10" s="44" t="s">
        <v>105</v>
      </c>
      <c r="D10" s="44" t="s">
        <v>53</v>
      </c>
      <c r="E10" s="44" t="s">
        <v>70</v>
      </c>
      <c r="F10" s="45" t="n">
        <v>305</v>
      </c>
      <c r="G10" s="45" t="n">
        <v>91</v>
      </c>
      <c r="H10" s="46" t="n">
        <v>64.76</v>
      </c>
      <c r="I10" s="47" t="str">
        <f aca="false">IF(F10&lt;=G10,"REORDER NOW",IF(F10&lt;=G10*(1+Settings!$B$5),"LOW STOCK","IN STOCK"))</f>
        <v>IN STOCK</v>
      </c>
      <c r="J10" s="48" t="str">
        <f aca="false">IFERROR(INDEX(Suppliers!$B$5:$B$9,MATCH(D10,Suppliers!$C$5:$C$9,0)),"Unassigned")</f>
        <v>TechSource India</v>
      </c>
      <c r="K10" s="49" t="n">
        <f aca="false">IFERROR(INDEX(Suppliers!$D$5:$D$9,MATCH(D10,Suppliers!$C$5:$C$9,0)),0)</f>
        <v>7</v>
      </c>
      <c r="L10" s="50" t="n">
        <v>14.4</v>
      </c>
      <c r="M10" s="51" t="n">
        <f aca="false">IF(L10&gt;0,ROUND(F10/L10,1),"")</f>
        <v>21.2</v>
      </c>
      <c r="N10" s="52" t="str">
        <f aca="false">IF(I10="IN STOCK","-",IF(AND(M10&lt;&gt;"",M10&lt;K10),"CRITICAL",IF(I10="REORDER NOW","HIGH","MEDIUM")))</f>
        <v>-</v>
      </c>
      <c r="O10" s="49" t="n">
        <f aca="false">IF(I10="IN STOCK",0,MAX(0,ROUNDUP(G10*Settings!$B$6,0)-F10))</f>
        <v>0</v>
      </c>
      <c r="P10" s="53" t="n">
        <f aca="false">F10*H10</f>
        <v>19751.8</v>
      </c>
      <c r="Q10" s="53" t="n">
        <f aca="false">O10*H10</f>
        <v>0</v>
      </c>
      <c r="R10" s="54" t="str">
        <f aca="false">IF(I10="IN STOCK","",Settings!$B$7+K10)</f>
        <v/>
      </c>
      <c r="S10" s="48" t="str">
        <f aca="false">IF(N10="CRITICAL","Order immediately - stock-out before delivery",IF(N10="HIGH","Raise purchase order today",IF(N10="MEDIUM","Plan reorder this week","No action required")))</f>
        <v>No action required</v>
      </c>
      <c r="T10" s="55" t="n">
        <f aca="false">IF(I10="IN STOCK",0,IF(N10="CRITICAL",30,IF(N10="HIGH",20,10))+IF(G10&gt;0,(G10-F10)/G10,0)+ROW()/10000000)</f>
        <v>0</v>
      </c>
      <c r="U10" s="56" t="str">
        <f aca="false">IF(T10&gt;0,SUMPRODUCT(--($T$5:$T$104&gt;T10))+1,"")</f>
        <v/>
      </c>
    </row>
    <row r="11" customFormat="false" ht="15" hidden="false" customHeight="false" outlineLevel="0" collapsed="false">
      <c r="A11" s="43" t="n">
        <v>45292</v>
      </c>
      <c r="B11" s="44" t="s">
        <v>50</v>
      </c>
      <c r="C11" s="44" t="s">
        <v>106</v>
      </c>
      <c r="D11" s="44" t="s">
        <v>51</v>
      </c>
      <c r="E11" s="44" t="s">
        <v>68</v>
      </c>
      <c r="F11" s="45" t="n">
        <v>256</v>
      </c>
      <c r="G11" s="45" t="n">
        <v>25</v>
      </c>
      <c r="H11" s="46" t="n">
        <v>77.44</v>
      </c>
      <c r="I11" s="47" t="str">
        <f aca="false">IF(F11&lt;=G11,"REORDER NOW",IF(F11&lt;=G11*(1+Settings!$B$5),"LOW STOCK","IN STOCK"))</f>
        <v>IN STOCK</v>
      </c>
      <c r="J11" s="48" t="str">
        <f aca="false">IFERROR(INDEX(Suppliers!$B$5:$B$9,MATCH(D11,Suppliers!$C$5:$C$9,0)),"Unassigned")</f>
        <v>StyleHub Wholesale</v>
      </c>
      <c r="K11" s="49" t="n">
        <f aca="false">IFERROR(INDEX(Suppliers!$D$5:$D$9,MATCH(D11,Suppliers!$C$5:$C$9,0)),0)</f>
        <v>6</v>
      </c>
      <c r="L11" s="50" t="n">
        <v>5.1</v>
      </c>
      <c r="M11" s="51" t="n">
        <f aca="false">IF(L11&gt;0,ROUND(F11/L11,1),"")</f>
        <v>50.2</v>
      </c>
      <c r="N11" s="52" t="str">
        <f aca="false">IF(I11="IN STOCK","-",IF(AND(M11&lt;&gt;"",M11&lt;K11),"CRITICAL",IF(I11="REORDER NOW","HIGH","MEDIUM")))</f>
        <v>-</v>
      </c>
      <c r="O11" s="49" t="n">
        <f aca="false">IF(I11="IN STOCK",0,MAX(0,ROUNDUP(G11*Settings!$B$6,0)-F11))</f>
        <v>0</v>
      </c>
      <c r="P11" s="53" t="n">
        <f aca="false">F11*H11</f>
        <v>19824.64</v>
      </c>
      <c r="Q11" s="53" t="n">
        <f aca="false">O11*H11</f>
        <v>0</v>
      </c>
      <c r="R11" s="54" t="str">
        <f aca="false">IF(I11="IN STOCK","",Settings!$B$7+K11)</f>
        <v/>
      </c>
      <c r="S11" s="48" t="str">
        <f aca="false">IF(N11="CRITICAL","Order immediately - stock-out before delivery",IF(N11="HIGH","Raise purchase order today",IF(N11="MEDIUM","Plan reorder this week","No action required")))</f>
        <v>No action required</v>
      </c>
      <c r="T11" s="55" t="n">
        <f aca="false">IF(I11="IN STOCK",0,IF(N11="CRITICAL",30,IF(N11="HIGH",20,10))+IF(G11&gt;0,(G11-F11)/G11,0)+ROW()/10000000)</f>
        <v>0</v>
      </c>
      <c r="U11" s="56" t="str">
        <f aca="false">IF(T11&gt;0,SUMPRODUCT(--($T$5:$T$104&gt;T11))+1,"")</f>
        <v/>
      </c>
    </row>
    <row r="12" customFormat="false" ht="15" hidden="false" customHeight="false" outlineLevel="0" collapsed="false">
      <c r="A12" s="43" t="n">
        <v>45292</v>
      </c>
      <c r="B12" s="44" t="s">
        <v>50</v>
      </c>
      <c r="C12" s="44" t="s">
        <v>107</v>
      </c>
      <c r="D12" s="44" t="s">
        <v>53</v>
      </c>
      <c r="E12" s="44" t="s">
        <v>68</v>
      </c>
      <c r="F12" s="45" t="n">
        <v>315</v>
      </c>
      <c r="G12" s="45" t="n">
        <v>226</v>
      </c>
      <c r="H12" s="46" t="n">
        <v>31.34</v>
      </c>
      <c r="I12" s="47" t="str">
        <f aca="false">IF(F12&lt;=G12,"REORDER NOW",IF(F12&lt;=G12*(1+Settings!$B$5),"LOW STOCK","IN STOCK"))</f>
        <v>IN STOCK</v>
      </c>
      <c r="J12" s="48" t="str">
        <f aca="false">IFERROR(INDEX(Suppliers!$B$5:$B$9,MATCH(D12,Suppliers!$C$5:$C$9,0)),"Unassigned")</f>
        <v>TechSource India</v>
      </c>
      <c r="K12" s="49" t="n">
        <f aca="false">IFERROR(INDEX(Suppliers!$D$5:$D$9,MATCH(D12,Suppliers!$C$5:$C$9,0)),0)</f>
        <v>7</v>
      </c>
      <c r="L12" s="50" t="n">
        <v>24.3</v>
      </c>
      <c r="M12" s="51" t="n">
        <f aca="false">IF(L12&gt;0,ROUND(F12/L12,1),"")</f>
        <v>13</v>
      </c>
      <c r="N12" s="52" t="str">
        <f aca="false">IF(I12="IN STOCK","-",IF(AND(M12&lt;&gt;"",M12&lt;K12),"CRITICAL",IF(I12="REORDER NOW","HIGH","MEDIUM")))</f>
        <v>-</v>
      </c>
      <c r="O12" s="49" t="n">
        <f aca="false">IF(I12="IN STOCK",0,MAX(0,ROUNDUP(G12*Settings!$B$6,0)-F12))</f>
        <v>0</v>
      </c>
      <c r="P12" s="53" t="n">
        <f aca="false">F12*H12</f>
        <v>9872.1</v>
      </c>
      <c r="Q12" s="53" t="n">
        <f aca="false">O12*H12</f>
        <v>0</v>
      </c>
      <c r="R12" s="54" t="str">
        <f aca="false">IF(I12="IN STOCK","",Settings!$B$7+K12)</f>
        <v/>
      </c>
      <c r="S12" s="48" t="str">
        <f aca="false">IF(N12="CRITICAL","Order immediately - stock-out before delivery",IF(N12="HIGH","Raise purchase order today",IF(N12="MEDIUM","Plan reorder this week","No action required")))</f>
        <v>No action required</v>
      </c>
      <c r="T12" s="55" t="n">
        <f aca="false">IF(I12="IN STOCK",0,IF(N12="CRITICAL",30,IF(N12="HIGH",20,10))+IF(G12&gt;0,(G12-F12)/G12,0)+ROW()/10000000)</f>
        <v>0</v>
      </c>
      <c r="U12" s="56" t="str">
        <f aca="false">IF(T12&gt;0,SUMPRODUCT(--($T$5:$T$104&gt;T12))+1,"")</f>
        <v/>
      </c>
    </row>
    <row r="13" customFormat="false" ht="15" hidden="false" customHeight="false" outlineLevel="0" collapsed="false">
      <c r="A13" s="43" t="n">
        <v>45292</v>
      </c>
      <c r="B13" s="44" t="s">
        <v>50</v>
      </c>
      <c r="C13" s="44" t="s">
        <v>108</v>
      </c>
      <c r="D13" s="44" t="s">
        <v>53</v>
      </c>
      <c r="E13" s="44" t="s">
        <v>72</v>
      </c>
      <c r="F13" s="45" t="n">
        <v>167</v>
      </c>
      <c r="G13" s="45" t="n">
        <v>28</v>
      </c>
      <c r="H13" s="46" t="n">
        <v>96.8</v>
      </c>
      <c r="I13" s="47" t="str">
        <f aca="false">IF(F13&lt;=G13,"REORDER NOW",IF(F13&lt;=G13*(1+Settings!$B$5),"LOW STOCK","IN STOCK"))</f>
        <v>IN STOCK</v>
      </c>
      <c r="J13" s="48" t="str">
        <f aca="false">IFERROR(INDEX(Suppliers!$B$5:$B$9,MATCH(D13,Suppliers!$C$5:$C$9,0)),"Unassigned")</f>
        <v>TechSource India</v>
      </c>
      <c r="K13" s="49" t="n">
        <f aca="false">IFERROR(INDEX(Suppliers!$D$5:$D$9,MATCH(D13,Suppliers!$C$5:$C$9,0)),0)</f>
        <v>7</v>
      </c>
      <c r="L13" s="50" t="n">
        <v>3.8</v>
      </c>
      <c r="M13" s="51" t="n">
        <f aca="false">IF(L13&gt;0,ROUND(F13/L13,1),"")</f>
        <v>43.9</v>
      </c>
      <c r="N13" s="52" t="str">
        <f aca="false">IF(I13="IN STOCK","-",IF(AND(M13&lt;&gt;"",M13&lt;K13),"CRITICAL",IF(I13="REORDER NOW","HIGH","MEDIUM")))</f>
        <v>-</v>
      </c>
      <c r="O13" s="49" t="n">
        <f aca="false">IF(I13="IN STOCK",0,MAX(0,ROUNDUP(G13*Settings!$B$6,0)-F13))</f>
        <v>0</v>
      </c>
      <c r="P13" s="53" t="n">
        <f aca="false">F13*H13</f>
        <v>16165.6</v>
      </c>
      <c r="Q13" s="53" t="n">
        <f aca="false">O13*H13</f>
        <v>0</v>
      </c>
      <c r="R13" s="54" t="str">
        <f aca="false">IF(I13="IN STOCK","",Settings!$B$7+K13)</f>
        <v/>
      </c>
      <c r="S13" s="48" t="str">
        <f aca="false">IF(N13="CRITICAL","Order immediately - stock-out before delivery",IF(N13="HIGH","Raise purchase order today",IF(N13="MEDIUM","Plan reorder this week","No action required")))</f>
        <v>No action required</v>
      </c>
      <c r="T13" s="55" t="n">
        <f aca="false">IF(I13="IN STOCK",0,IF(N13="CRITICAL",30,IF(N13="HIGH",20,10))+IF(G13&gt;0,(G13-F13)/G13,0)+ROW()/10000000)</f>
        <v>0</v>
      </c>
      <c r="U13" s="56" t="str">
        <f aca="false">IF(T13&gt;0,SUMPRODUCT(--($T$5:$T$104&gt;T13))+1,"")</f>
        <v/>
      </c>
    </row>
    <row r="14" customFormat="false" ht="15" hidden="false" customHeight="false" outlineLevel="0" collapsed="false">
      <c r="A14" s="43" t="n">
        <v>45292</v>
      </c>
      <c r="B14" s="44" t="s">
        <v>50</v>
      </c>
      <c r="C14" s="44" t="s">
        <v>109</v>
      </c>
      <c r="D14" s="44" t="s">
        <v>55</v>
      </c>
      <c r="E14" s="44" t="s">
        <v>74</v>
      </c>
      <c r="F14" s="45" t="n">
        <v>167</v>
      </c>
      <c r="G14" s="45" t="n">
        <v>87</v>
      </c>
      <c r="H14" s="46" t="n">
        <v>40.95</v>
      </c>
      <c r="I14" s="47" t="str">
        <f aca="false">IF(F14&lt;=G14,"REORDER NOW",IF(F14&lt;=G14*(1+Settings!$B$5),"LOW STOCK","IN STOCK"))</f>
        <v>IN STOCK</v>
      </c>
      <c r="J14" s="48" t="str">
        <f aca="false">IFERROR(INDEX(Suppliers!$B$5:$B$9,MATCH(D14,Suppliers!$C$5:$C$9,0)),"Unassigned")</f>
        <v>HomeCraft Suppliers</v>
      </c>
      <c r="K14" s="49" t="n">
        <f aca="false">IFERROR(INDEX(Suppliers!$D$5:$D$9,MATCH(D14,Suppliers!$C$5:$C$9,0)),0)</f>
        <v>12</v>
      </c>
      <c r="L14" s="50" t="n">
        <v>5.2</v>
      </c>
      <c r="M14" s="51" t="n">
        <f aca="false">IF(L14&gt;0,ROUND(F14/L14,1),"")</f>
        <v>32.1</v>
      </c>
      <c r="N14" s="52" t="str">
        <f aca="false">IF(I14="IN STOCK","-",IF(AND(M14&lt;&gt;"",M14&lt;K14),"CRITICAL",IF(I14="REORDER NOW","HIGH","MEDIUM")))</f>
        <v>-</v>
      </c>
      <c r="O14" s="49" t="n">
        <f aca="false">IF(I14="IN STOCK",0,MAX(0,ROUNDUP(G14*Settings!$B$6,0)-F14))</f>
        <v>0</v>
      </c>
      <c r="P14" s="53" t="n">
        <f aca="false">F14*H14</f>
        <v>6838.65</v>
      </c>
      <c r="Q14" s="53" t="n">
        <f aca="false">O14*H14</f>
        <v>0</v>
      </c>
      <c r="R14" s="54" t="str">
        <f aca="false">IF(I14="IN STOCK","",Settings!$B$7+K14)</f>
        <v/>
      </c>
      <c r="S14" s="48" t="str">
        <f aca="false">IF(N14="CRITICAL","Order immediately - stock-out before delivery",IF(N14="HIGH","Raise purchase order today",IF(N14="MEDIUM","Plan reorder this week","No action required")))</f>
        <v>No action required</v>
      </c>
      <c r="T14" s="55" t="n">
        <f aca="false">IF(I14="IN STOCK",0,IF(N14="CRITICAL",30,IF(N14="HIGH",20,10))+IF(G14&gt;0,(G14-F14)/G14,0)+ROW()/10000000)</f>
        <v>0</v>
      </c>
      <c r="U14" s="56" t="str">
        <f aca="false">IF(T14&gt;0,SUMPRODUCT(--($T$5:$T$104&gt;T14))+1,"")</f>
        <v/>
      </c>
    </row>
    <row r="15" customFormat="false" ht="15" hidden="false" customHeight="false" outlineLevel="0" collapsed="false">
      <c r="A15" s="43" t="n">
        <v>45292</v>
      </c>
      <c r="B15" s="44" t="s">
        <v>50</v>
      </c>
      <c r="C15" s="44" t="s">
        <v>110</v>
      </c>
      <c r="D15" s="44" t="s">
        <v>53</v>
      </c>
      <c r="E15" s="44" t="s">
        <v>74</v>
      </c>
      <c r="F15" s="45" t="n">
        <v>449</v>
      </c>
      <c r="G15" s="45" t="n">
        <v>33</v>
      </c>
      <c r="H15" s="46" t="n">
        <v>90.89</v>
      </c>
      <c r="I15" s="47" t="str">
        <f aca="false">IF(F15&lt;=G15,"REORDER NOW",IF(F15&lt;=G15*(1+Settings!$B$5),"LOW STOCK","IN STOCK"))</f>
        <v>IN STOCK</v>
      </c>
      <c r="J15" s="48" t="str">
        <f aca="false">IFERROR(INDEX(Suppliers!$B$5:$B$9,MATCH(D15,Suppliers!$C$5:$C$9,0)),"Unassigned")</f>
        <v>TechSource India</v>
      </c>
      <c r="K15" s="49" t="n">
        <f aca="false">IFERROR(INDEX(Suppliers!$D$5:$D$9,MATCH(D15,Suppliers!$C$5:$C$9,0)),0)</f>
        <v>7</v>
      </c>
      <c r="L15" s="50" t="n">
        <v>3.9</v>
      </c>
      <c r="M15" s="51" t="n">
        <f aca="false">IF(L15&gt;0,ROUND(F15/L15,1),"")</f>
        <v>115.1</v>
      </c>
      <c r="N15" s="52" t="str">
        <f aca="false">IF(I15="IN STOCK","-",IF(AND(M15&lt;&gt;"",M15&lt;K15),"CRITICAL",IF(I15="REORDER NOW","HIGH","MEDIUM")))</f>
        <v>-</v>
      </c>
      <c r="O15" s="49" t="n">
        <f aca="false">IF(I15="IN STOCK",0,MAX(0,ROUNDUP(G15*Settings!$B$6,0)-F15))</f>
        <v>0</v>
      </c>
      <c r="P15" s="53" t="n">
        <f aca="false">F15*H15</f>
        <v>40809.61</v>
      </c>
      <c r="Q15" s="53" t="n">
        <f aca="false">O15*H15</f>
        <v>0</v>
      </c>
      <c r="R15" s="54" t="str">
        <f aca="false">IF(I15="IN STOCK","",Settings!$B$7+K15)</f>
        <v/>
      </c>
      <c r="S15" s="48" t="str">
        <f aca="false">IF(N15="CRITICAL","Order immediately - stock-out before delivery",IF(N15="HIGH","Raise purchase order today",IF(N15="MEDIUM","Plan reorder this week","No action required")))</f>
        <v>No action required</v>
      </c>
      <c r="T15" s="55" t="n">
        <f aca="false">IF(I15="IN STOCK",0,IF(N15="CRITICAL",30,IF(N15="HIGH",20,10))+IF(G15&gt;0,(G15-F15)/G15,0)+ROW()/10000000)</f>
        <v>0</v>
      </c>
      <c r="U15" s="56" t="str">
        <f aca="false">IF(T15&gt;0,SUMPRODUCT(--($T$5:$T$104&gt;T15))+1,"")</f>
        <v/>
      </c>
    </row>
    <row r="16" customFormat="false" ht="15" hidden="false" customHeight="false" outlineLevel="0" collapsed="false">
      <c r="A16" s="43" t="n">
        <v>45292</v>
      </c>
      <c r="B16" s="44" t="s">
        <v>50</v>
      </c>
      <c r="C16" s="44" t="s">
        <v>111</v>
      </c>
      <c r="D16" s="44" t="s">
        <v>53</v>
      </c>
      <c r="E16" s="44" t="s">
        <v>68</v>
      </c>
      <c r="F16" s="45" t="n">
        <v>213</v>
      </c>
      <c r="G16" s="45" t="n">
        <v>61</v>
      </c>
      <c r="H16" s="46" t="n">
        <v>39.14</v>
      </c>
      <c r="I16" s="47" t="str">
        <f aca="false">IF(F16&lt;=G16,"REORDER NOW",IF(F16&lt;=G16*(1+Settings!$B$5),"LOW STOCK","IN STOCK"))</f>
        <v>IN STOCK</v>
      </c>
      <c r="J16" s="48" t="str">
        <f aca="false">IFERROR(INDEX(Suppliers!$B$5:$B$9,MATCH(D16,Suppliers!$C$5:$C$9,0)),"Unassigned")</f>
        <v>TechSource India</v>
      </c>
      <c r="K16" s="49" t="n">
        <f aca="false">IFERROR(INDEX(Suppliers!$D$5:$D$9,MATCH(D16,Suppliers!$C$5:$C$9,0)),0)</f>
        <v>7</v>
      </c>
      <c r="L16" s="50" t="n">
        <v>8.7</v>
      </c>
      <c r="M16" s="51" t="n">
        <f aca="false">IF(L16&gt;0,ROUND(F16/L16,1),"")</f>
        <v>24.5</v>
      </c>
      <c r="N16" s="52" t="str">
        <f aca="false">IF(I16="IN STOCK","-",IF(AND(M16&lt;&gt;"",M16&lt;K16),"CRITICAL",IF(I16="REORDER NOW","HIGH","MEDIUM")))</f>
        <v>-</v>
      </c>
      <c r="O16" s="49" t="n">
        <f aca="false">IF(I16="IN STOCK",0,MAX(0,ROUNDUP(G16*Settings!$B$6,0)-F16))</f>
        <v>0</v>
      </c>
      <c r="P16" s="53" t="n">
        <f aca="false">F16*H16</f>
        <v>8336.82</v>
      </c>
      <c r="Q16" s="53" t="n">
        <f aca="false">O16*H16</f>
        <v>0</v>
      </c>
      <c r="R16" s="54" t="str">
        <f aca="false">IF(I16="IN STOCK","",Settings!$B$7+K16)</f>
        <v/>
      </c>
      <c r="S16" s="48" t="str">
        <f aca="false">IF(N16="CRITICAL","Order immediately - stock-out before delivery",IF(N16="HIGH","Raise purchase order today",IF(N16="MEDIUM","Plan reorder this week","No action required")))</f>
        <v>No action required</v>
      </c>
      <c r="T16" s="55" t="n">
        <f aca="false">IF(I16="IN STOCK",0,IF(N16="CRITICAL",30,IF(N16="HIGH",20,10))+IF(G16&gt;0,(G16-F16)/G16,0)+ROW()/10000000)</f>
        <v>0</v>
      </c>
      <c r="U16" s="56" t="str">
        <f aca="false">IF(T16&gt;0,SUMPRODUCT(--($T$5:$T$104&gt;T16))+1,"")</f>
        <v/>
      </c>
    </row>
    <row r="17" customFormat="false" ht="15" hidden="false" customHeight="false" outlineLevel="0" collapsed="false">
      <c r="A17" s="43" t="n">
        <v>45292</v>
      </c>
      <c r="B17" s="44" t="s">
        <v>50</v>
      </c>
      <c r="C17" s="44" t="s">
        <v>112</v>
      </c>
      <c r="D17" s="44" t="s">
        <v>57</v>
      </c>
      <c r="E17" s="44" t="s">
        <v>70</v>
      </c>
      <c r="F17" s="45" t="n">
        <v>356</v>
      </c>
      <c r="G17" s="45" t="n">
        <v>225</v>
      </c>
      <c r="H17" s="46" t="n">
        <v>59.93</v>
      </c>
      <c r="I17" s="47" t="str">
        <f aca="false">IF(F17&lt;=G17,"REORDER NOW",IF(F17&lt;=G17*(1+Settings!$B$5),"LOW STOCK","IN STOCK"))</f>
        <v>IN STOCK</v>
      </c>
      <c r="J17" s="48" t="str">
        <f aca="false">IFERROR(INDEX(Suppliers!$B$5:$B$9,MATCH(D17,Suppliers!$C$5:$C$9,0)),"Unassigned")</f>
        <v>FreshLink Traders</v>
      </c>
      <c r="K17" s="49" t="n">
        <f aca="false">IFERROR(INDEX(Suppliers!$D$5:$D$9,MATCH(D17,Suppliers!$C$5:$C$9,0)),0)</f>
        <v>2</v>
      </c>
      <c r="L17" s="50" t="n">
        <v>80.5</v>
      </c>
      <c r="M17" s="51" t="n">
        <f aca="false">IF(L17&gt;0,ROUND(F17/L17,1),"")</f>
        <v>4.4</v>
      </c>
      <c r="N17" s="52" t="str">
        <f aca="false">IF(I17="IN STOCK","-",IF(AND(M17&lt;&gt;"",M17&lt;K17),"CRITICAL",IF(I17="REORDER NOW","HIGH","MEDIUM")))</f>
        <v>-</v>
      </c>
      <c r="O17" s="49" t="n">
        <f aca="false">IF(I17="IN STOCK",0,MAX(0,ROUNDUP(G17*Settings!$B$6,0)-F17))</f>
        <v>0</v>
      </c>
      <c r="P17" s="53" t="n">
        <f aca="false">F17*H17</f>
        <v>21335.08</v>
      </c>
      <c r="Q17" s="53" t="n">
        <f aca="false">O17*H17</f>
        <v>0</v>
      </c>
      <c r="R17" s="54" t="str">
        <f aca="false">IF(I17="IN STOCK","",Settings!$B$7+K17)</f>
        <v/>
      </c>
      <c r="S17" s="48" t="str">
        <f aca="false">IF(N17="CRITICAL","Order immediately - stock-out before delivery",IF(N17="HIGH","Raise purchase order today",IF(N17="MEDIUM","Plan reorder this week","No action required")))</f>
        <v>No action required</v>
      </c>
      <c r="T17" s="55" t="n">
        <f aca="false">IF(I17="IN STOCK",0,IF(N17="CRITICAL",30,IF(N17="HIGH",20,10))+IF(G17&gt;0,(G17-F17)/G17,0)+ROW()/10000000)</f>
        <v>0</v>
      </c>
      <c r="U17" s="56" t="str">
        <f aca="false">IF(T17&gt;0,SUMPRODUCT(--($T$5:$T$104&gt;T17))+1,"")</f>
        <v/>
      </c>
    </row>
    <row r="18" customFormat="false" ht="15" hidden="false" customHeight="false" outlineLevel="0" collapsed="false">
      <c r="A18" s="43" t="n">
        <v>45292</v>
      </c>
      <c r="B18" s="44" t="s">
        <v>50</v>
      </c>
      <c r="C18" s="44" t="s">
        <v>113</v>
      </c>
      <c r="D18" s="44" t="s">
        <v>57</v>
      </c>
      <c r="E18" s="44" t="s">
        <v>72</v>
      </c>
      <c r="F18" s="45" t="n">
        <v>293</v>
      </c>
      <c r="G18" s="45" t="n">
        <v>231</v>
      </c>
      <c r="H18" s="46" t="n">
        <v>29.01</v>
      </c>
      <c r="I18" s="47" t="str">
        <f aca="false">IF(F18&lt;=G18,"REORDER NOW",IF(F18&lt;=G18*(1+Settings!$B$5),"LOW STOCK","IN STOCK"))</f>
        <v>IN STOCK</v>
      </c>
      <c r="J18" s="48" t="str">
        <f aca="false">IFERROR(INDEX(Suppliers!$B$5:$B$9,MATCH(D18,Suppliers!$C$5:$C$9,0)),"Unassigned")</f>
        <v>FreshLink Traders</v>
      </c>
      <c r="K18" s="49" t="n">
        <f aca="false">IFERROR(INDEX(Suppliers!$D$5:$D$9,MATCH(D18,Suppliers!$C$5:$C$9,0)),0)</f>
        <v>2</v>
      </c>
      <c r="L18" s="50" t="n">
        <v>94.6</v>
      </c>
      <c r="M18" s="51" t="n">
        <f aca="false">IF(L18&gt;0,ROUND(F18/L18,1),"")</f>
        <v>3.1</v>
      </c>
      <c r="N18" s="52" t="str">
        <f aca="false">IF(I18="IN STOCK","-",IF(AND(M18&lt;&gt;"",M18&lt;K18),"CRITICAL",IF(I18="REORDER NOW","HIGH","MEDIUM")))</f>
        <v>-</v>
      </c>
      <c r="O18" s="49" t="n">
        <f aca="false">IF(I18="IN STOCK",0,MAX(0,ROUNDUP(G18*Settings!$B$6,0)-F18))</f>
        <v>0</v>
      </c>
      <c r="P18" s="53" t="n">
        <f aca="false">F18*H18</f>
        <v>8499.93</v>
      </c>
      <c r="Q18" s="53" t="n">
        <f aca="false">O18*H18</f>
        <v>0</v>
      </c>
      <c r="R18" s="54" t="str">
        <f aca="false">IF(I18="IN STOCK","",Settings!$B$7+K18)</f>
        <v/>
      </c>
      <c r="S18" s="48" t="str">
        <f aca="false">IF(N18="CRITICAL","Order immediately - stock-out before delivery",IF(N18="HIGH","Raise purchase order today",IF(N18="MEDIUM","Plan reorder this week","No action required")))</f>
        <v>No action required</v>
      </c>
      <c r="T18" s="55" t="n">
        <f aca="false">IF(I18="IN STOCK",0,IF(N18="CRITICAL",30,IF(N18="HIGH",20,10))+IF(G18&gt;0,(G18-F18)/G18,0)+ROW()/10000000)</f>
        <v>0</v>
      </c>
      <c r="U18" s="56" t="str">
        <f aca="false">IF(T18&gt;0,SUMPRODUCT(--($T$5:$T$104&gt;T18))+1,"")</f>
        <v/>
      </c>
    </row>
    <row r="19" customFormat="false" ht="15" hidden="false" customHeight="false" outlineLevel="0" collapsed="false">
      <c r="A19" s="43" t="n">
        <v>45292</v>
      </c>
      <c r="B19" s="44" t="s">
        <v>50</v>
      </c>
      <c r="C19" s="44" t="s">
        <v>114</v>
      </c>
      <c r="D19" s="44" t="s">
        <v>53</v>
      </c>
      <c r="E19" s="44" t="s">
        <v>68</v>
      </c>
      <c r="F19" s="45" t="n">
        <v>356</v>
      </c>
      <c r="G19" s="45" t="n">
        <v>255</v>
      </c>
      <c r="H19" s="46" t="n">
        <v>25.26</v>
      </c>
      <c r="I19" s="47" t="str">
        <f aca="false">IF(F19&lt;=G19,"REORDER NOW",IF(F19&lt;=G19*(1+Settings!$B$5),"LOW STOCK","IN STOCK"))</f>
        <v>IN STOCK</v>
      </c>
      <c r="J19" s="48" t="str">
        <f aca="false">IFERROR(INDEX(Suppliers!$B$5:$B$9,MATCH(D19,Suppliers!$C$5:$C$9,0)),"Unassigned")</f>
        <v>TechSource India</v>
      </c>
      <c r="K19" s="49" t="n">
        <f aca="false">IFERROR(INDEX(Suppliers!$D$5:$D$9,MATCH(D19,Suppliers!$C$5:$C$9,0)),0)</f>
        <v>7</v>
      </c>
      <c r="L19" s="50" t="n">
        <v>39.7</v>
      </c>
      <c r="M19" s="51" t="n">
        <f aca="false">IF(L19&gt;0,ROUND(F19/L19,1),"")</f>
        <v>9</v>
      </c>
      <c r="N19" s="52" t="str">
        <f aca="false">IF(I19="IN STOCK","-",IF(AND(M19&lt;&gt;"",M19&lt;K19),"CRITICAL",IF(I19="REORDER NOW","HIGH","MEDIUM")))</f>
        <v>-</v>
      </c>
      <c r="O19" s="49" t="n">
        <f aca="false">IF(I19="IN STOCK",0,MAX(0,ROUNDUP(G19*Settings!$B$6,0)-F19))</f>
        <v>0</v>
      </c>
      <c r="P19" s="53" t="n">
        <f aca="false">F19*H19</f>
        <v>8992.56</v>
      </c>
      <c r="Q19" s="53" t="n">
        <f aca="false">O19*H19</f>
        <v>0</v>
      </c>
      <c r="R19" s="54" t="str">
        <f aca="false">IF(I19="IN STOCK","",Settings!$B$7+K19)</f>
        <v/>
      </c>
      <c r="S19" s="48" t="str">
        <f aca="false">IF(N19="CRITICAL","Order immediately - stock-out before delivery",IF(N19="HIGH","Raise purchase order today",IF(N19="MEDIUM","Plan reorder this week","No action required")))</f>
        <v>No action required</v>
      </c>
      <c r="T19" s="55" t="n">
        <f aca="false">IF(I19="IN STOCK",0,IF(N19="CRITICAL",30,IF(N19="HIGH",20,10))+IF(G19&gt;0,(G19-F19)/G19,0)+ROW()/10000000)</f>
        <v>0</v>
      </c>
      <c r="U19" s="56" t="str">
        <f aca="false">IF(T19&gt;0,SUMPRODUCT(--($T$5:$T$104&gt;T19))+1,"")</f>
        <v/>
      </c>
    </row>
    <row r="20" customFormat="false" ht="15" hidden="false" customHeight="false" outlineLevel="0" collapsed="false">
      <c r="A20" s="43" t="n">
        <v>45292</v>
      </c>
      <c r="B20" s="44" t="s">
        <v>50</v>
      </c>
      <c r="C20" s="44" t="s">
        <v>115</v>
      </c>
      <c r="D20" s="44" t="s">
        <v>53</v>
      </c>
      <c r="E20" s="44" t="s">
        <v>68</v>
      </c>
      <c r="F20" s="45" t="n">
        <v>74</v>
      </c>
      <c r="G20" s="45" t="n">
        <v>28</v>
      </c>
      <c r="H20" s="46" t="n">
        <v>40.61</v>
      </c>
      <c r="I20" s="47" t="str">
        <f aca="false">IF(F20&lt;=G20,"REORDER NOW",IF(F20&lt;=G20*(1+Settings!$B$5),"LOW STOCK","IN STOCK"))</f>
        <v>IN STOCK</v>
      </c>
      <c r="J20" s="48" t="str">
        <f aca="false">IFERROR(INDEX(Suppliers!$B$5:$B$9,MATCH(D20,Suppliers!$C$5:$C$9,0)),"Unassigned")</f>
        <v>TechSource India</v>
      </c>
      <c r="K20" s="49" t="n">
        <f aca="false">IFERROR(INDEX(Suppliers!$D$5:$D$9,MATCH(D20,Suppliers!$C$5:$C$9,0)),0)</f>
        <v>7</v>
      </c>
      <c r="L20" s="50" t="n">
        <v>4.1</v>
      </c>
      <c r="M20" s="51" t="n">
        <f aca="false">IF(L20&gt;0,ROUND(F20/L20,1),"")</f>
        <v>18</v>
      </c>
      <c r="N20" s="52" t="str">
        <f aca="false">IF(I20="IN STOCK","-",IF(AND(M20&lt;&gt;"",M20&lt;K20),"CRITICAL",IF(I20="REORDER NOW","HIGH","MEDIUM")))</f>
        <v>-</v>
      </c>
      <c r="O20" s="49" t="n">
        <f aca="false">IF(I20="IN STOCK",0,MAX(0,ROUNDUP(G20*Settings!$B$6,0)-F20))</f>
        <v>0</v>
      </c>
      <c r="P20" s="53" t="n">
        <f aca="false">F20*H20</f>
        <v>3005.14</v>
      </c>
      <c r="Q20" s="53" t="n">
        <f aca="false">O20*H20</f>
        <v>0</v>
      </c>
      <c r="R20" s="54" t="str">
        <f aca="false">IF(I20="IN STOCK","",Settings!$B$7+K20)</f>
        <v/>
      </c>
      <c r="S20" s="48" t="str">
        <f aca="false">IF(N20="CRITICAL","Order immediately - stock-out before delivery",IF(N20="HIGH","Raise purchase order today",IF(N20="MEDIUM","Plan reorder this week","No action required")))</f>
        <v>No action required</v>
      </c>
      <c r="T20" s="55" t="n">
        <f aca="false">IF(I20="IN STOCK",0,IF(N20="CRITICAL",30,IF(N20="HIGH",20,10))+IF(G20&gt;0,(G20-F20)/G20,0)+ROW()/10000000)</f>
        <v>0</v>
      </c>
      <c r="U20" s="56" t="str">
        <f aca="false">IF(T20&gt;0,SUMPRODUCT(--($T$5:$T$104&gt;T20))+1,"")</f>
        <v/>
      </c>
    </row>
    <row r="21" customFormat="false" ht="15" hidden="false" customHeight="false" outlineLevel="0" collapsed="false">
      <c r="A21" s="43" t="n">
        <v>45292</v>
      </c>
      <c r="B21" s="44" t="s">
        <v>50</v>
      </c>
      <c r="C21" s="44" t="s">
        <v>116</v>
      </c>
      <c r="D21" s="44" t="s">
        <v>59</v>
      </c>
      <c r="E21" s="44" t="s">
        <v>68</v>
      </c>
      <c r="F21" s="45" t="n">
        <v>282</v>
      </c>
      <c r="G21" s="45" t="n">
        <v>201</v>
      </c>
      <c r="H21" s="46" t="n">
        <v>20.68</v>
      </c>
      <c r="I21" s="47" t="str">
        <f aca="false">IF(F21&lt;=G21,"REORDER NOW",IF(F21&lt;=G21*(1+Settings!$B$5),"LOW STOCK","IN STOCK"))</f>
        <v>IN STOCK</v>
      </c>
      <c r="J21" s="48" t="str">
        <f aca="false">IFERROR(INDEX(Suppliers!$B$5:$B$9,MATCH(D21,Suppliers!$C$5:$C$9,0)),"Unassigned")</f>
        <v>PlayWorld Distributors</v>
      </c>
      <c r="K21" s="49" t="n">
        <f aca="false">IFERROR(INDEX(Suppliers!$D$5:$D$9,MATCH(D21,Suppliers!$C$5:$C$9,0)),0)</f>
        <v>5</v>
      </c>
      <c r="L21" s="50" t="n">
        <v>33.5</v>
      </c>
      <c r="M21" s="51" t="n">
        <f aca="false">IF(L21&gt;0,ROUND(F21/L21,1),"")</f>
        <v>8.4</v>
      </c>
      <c r="N21" s="52" t="str">
        <f aca="false">IF(I21="IN STOCK","-",IF(AND(M21&lt;&gt;"",M21&lt;K21),"CRITICAL",IF(I21="REORDER NOW","HIGH","MEDIUM")))</f>
        <v>-</v>
      </c>
      <c r="O21" s="49" t="n">
        <f aca="false">IF(I21="IN STOCK",0,MAX(0,ROUNDUP(G21*Settings!$B$6,0)-F21))</f>
        <v>0</v>
      </c>
      <c r="P21" s="53" t="n">
        <f aca="false">F21*H21</f>
        <v>5831.76</v>
      </c>
      <c r="Q21" s="53" t="n">
        <f aca="false">O21*H21</f>
        <v>0</v>
      </c>
      <c r="R21" s="54" t="str">
        <f aca="false">IF(I21="IN STOCK","",Settings!$B$7+K21)</f>
        <v/>
      </c>
      <c r="S21" s="48" t="str">
        <f aca="false">IF(N21="CRITICAL","Order immediately - stock-out before delivery",IF(N21="HIGH","Raise purchase order today",IF(N21="MEDIUM","Plan reorder this week","No action required")))</f>
        <v>No action required</v>
      </c>
      <c r="T21" s="55" t="n">
        <f aca="false">IF(I21="IN STOCK",0,IF(N21="CRITICAL",30,IF(N21="HIGH",20,10))+IF(G21&gt;0,(G21-F21)/G21,0)+ROW()/10000000)</f>
        <v>0</v>
      </c>
      <c r="U21" s="56" t="str">
        <f aca="false">IF(T21&gt;0,SUMPRODUCT(--($T$5:$T$104&gt;T21))+1,"")</f>
        <v/>
      </c>
    </row>
    <row r="22" customFormat="false" ht="15" hidden="false" customHeight="false" outlineLevel="0" collapsed="false">
      <c r="A22" s="43" t="n">
        <v>45292</v>
      </c>
      <c r="B22" s="44" t="s">
        <v>50</v>
      </c>
      <c r="C22" s="44" t="s">
        <v>117</v>
      </c>
      <c r="D22" s="44" t="s">
        <v>53</v>
      </c>
      <c r="E22" s="44" t="s">
        <v>68</v>
      </c>
      <c r="F22" s="45" t="n">
        <v>191</v>
      </c>
      <c r="G22" s="45" t="n">
        <v>25</v>
      </c>
      <c r="H22" s="46" t="n">
        <v>24.1</v>
      </c>
      <c r="I22" s="47" t="str">
        <f aca="false">IF(F22&lt;=G22,"REORDER NOW",IF(F22&lt;=G22*(1+Settings!$B$5),"LOW STOCK","IN STOCK"))</f>
        <v>IN STOCK</v>
      </c>
      <c r="J22" s="48" t="str">
        <f aca="false">IFERROR(INDEX(Suppliers!$B$5:$B$9,MATCH(D22,Suppliers!$C$5:$C$9,0)),"Unassigned")</f>
        <v>TechSource India</v>
      </c>
      <c r="K22" s="49" t="n">
        <f aca="false">IFERROR(INDEX(Suppliers!$D$5:$D$9,MATCH(D22,Suppliers!$C$5:$C$9,0)),0)</f>
        <v>7</v>
      </c>
      <c r="L22" s="50" t="n">
        <v>3.8</v>
      </c>
      <c r="M22" s="51" t="n">
        <f aca="false">IF(L22&gt;0,ROUND(F22/L22,1),"")</f>
        <v>50.3</v>
      </c>
      <c r="N22" s="52" t="str">
        <f aca="false">IF(I22="IN STOCK","-",IF(AND(M22&lt;&gt;"",M22&lt;K22),"CRITICAL",IF(I22="REORDER NOW","HIGH","MEDIUM")))</f>
        <v>-</v>
      </c>
      <c r="O22" s="49" t="n">
        <f aca="false">IF(I22="IN STOCK",0,MAX(0,ROUNDUP(G22*Settings!$B$6,0)-F22))</f>
        <v>0</v>
      </c>
      <c r="P22" s="53" t="n">
        <f aca="false">F22*H22</f>
        <v>4603.1</v>
      </c>
      <c r="Q22" s="53" t="n">
        <f aca="false">O22*H22</f>
        <v>0</v>
      </c>
      <c r="R22" s="54" t="str">
        <f aca="false">IF(I22="IN STOCK","",Settings!$B$7+K22)</f>
        <v/>
      </c>
      <c r="S22" s="48" t="str">
        <f aca="false">IF(N22="CRITICAL","Order immediately - stock-out before delivery",IF(N22="HIGH","Raise purchase order today",IF(N22="MEDIUM","Plan reorder this week","No action required")))</f>
        <v>No action required</v>
      </c>
      <c r="T22" s="55" t="n">
        <f aca="false">IF(I22="IN STOCK",0,IF(N22="CRITICAL",30,IF(N22="HIGH",20,10))+IF(G22&gt;0,(G22-F22)/G22,0)+ROW()/10000000)</f>
        <v>0</v>
      </c>
      <c r="U22" s="56" t="str">
        <f aca="false">IF(T22&gt;0,SUMPRODUCT(--($T$5:$T$104&gt;T22))+1,"")</f>
        <v/>
      </c>
    </row>
    <row r="23" customFormat="false" ht="15" hidden="false" customHeight="false" outlineLevel="0" collapsed="false">
      <c r="A23" s="43" t="n">
        <v>45292</v>
      </c>
      <c r="B23" s="44" t="s">
        <v>50</v>
      </c>
      <c r="C23" s="44" t="s">
        <v>118</v>
      </c>
      <c r="D23" s="44" t="s">
        <v>51</v>
      </c>
      <c r="E23" s="44" t="s">
        <v>74</v>
      </c>
      <c r="F23" s="45" t="n">
        <v>149</v>
      </c>
      <c r="G23" s="45" t="n">
        <v>155</v>
      </c>
      <c r="H23" s="46" t="n">
        <v>81.71</v>
      </c>
      <c r="I23" s="47" t="str">
        <f aca="false">IF(F23&lt;=G23,"REORDER NOW",IF(F23&lt;=G23*(1+Settings!$B$5),"LOW STOCK","IN STOCK"))</f>
        <v>REORDER NOW</v>
      </c>
      <c r="J23" s="48" t="str">
        <f aca="false">IFERROR(INDEX(Suppliers!$B$5:$B$9,MATCH(D23,Suppliers!$C$5:$C$9,0)),"Unassigned")</f>
        <v>StyleHub Wholesale</v>
      </c>
      <c r="K23" s="49" t="n">
        <f aca="false">IFERROR(INDEX(Suppliers!$D$5:$D$9,MATCH(D23,Suppliers!$C$5:$C$9,0)),0)</f>
        <v>6</v>
      </c>
      <c r="L23" s="50" t="n">
        <v>30.6</v>
      </c>
      <c r="M23" s="51" t="n">
        <f aca="false">IF(L23&gt;0,ROUND(F23/L23,1),"")</f>
        <v>4.9</v>
      </c>
      <c r="N23" s="52" t="str">
        <f aca="false">IF(I23="IN STOCK","-",IF(AND(M23&lt;&gt;"",M23&lt;K23),"CRITICAL",IF(I23="REORDER NOW","HIGH","MEDIUM")))</f>
        <v>CRITICAL</v>
      </c>
      <c r="O23" s="49" t="n">
        <f aca="false">IF(I23="IN STOCK",0,MAX(0,ROUNDUP(G23*Settings!$B$6,0)-F23))</f>
        <v>316</v>
      </c>
      <c r="P23" s="53" t="n">
        <f aca="false">F23*H23</f>
        <v>12174.79</v>
      </c>
      <c r="Q23" s="53" t="n">
        <f aca="false">O23*H23</f>
        <v>25820.36</v>
      </c>
      <c r="R23" s="54" t="n">
        <f aca="false">IF(I23="IN STOCK","",Settings!$B$7+K23)</f>
        <v>45298</v>
      </c>
      <c r="S23" s="48" t="str">
        <f aca="false">IF(N23="CRITICAL","Order immediately - stock-out before delivery",IF(N23="HIGH","Raise purchase order today",IF(N23="MEDIUM","Plan reorder this week","No action required")))</f>
        <v>Order immediately - stock-out before delivery</v>
      </c>
      <c r="T23" s="55" t="n">
        <f aca="false">IF(I23="IN STOCK",0,IF(N23="CRITICAL",30,IF(N23="HIGH",20,10))+IF(G23&gt;0,(G23-F23)/G23,0)+ROW()/10000000)</f>
        <v>30.0387119774194</v>
      </c>
      <c r="U23" s="56" t="n">
        <f aca="false">IF(T23&gt;0,SUMPRODUCT(--($T$5:$T$104&gt;T23))+1,"")</f>
        <v>3</v>
      </c>
    </row>
    <row r="24" customFormat="false" ht="15" hidden="false" customHeight="false" outlineLevel="0" collapsed="false">
      <c r="A24" s="43" t="n">
        <v>45292</v>
      </c>
      <c r="B24" s="44" t="s">
        <v>50</v>
      </c>
      <c r="C24" s="44" t="s">
        <v>119</v>
      </c>
      <c r="D24" s="44" t="s">
        <v>53</v>
      </c>
      <c r="E24" s="44" t="s">
        <v>72</v>
      </c>
      <c r="F24" s="45" t="n">
        <v>242</v>
      </c>
      <c r="G24" s="45" t="n">
        <v>51</v>
      </c>
      <c r="H24" s="46" t="n">
        <v>11</v>
      </c>
      <c r="I24" s="47" t="str">
        <f aca="false">IF(F24&lt;=G24,"REORDER NOW",IF(F24&lt;=G24*(1+Settings!$B$5),"LOW STOCK","IN STOCK"))</f>
        <v>IN STOCK</v>
      </c>
      <c r="J24" s="48" t="str">
        <f aca="false">IFERROR(INDEX(Suppliers!$B$5:$B$9,MATCH(D24,Suppliers!$C$5:$C$9,0)),"Unassigned")</f>
        <v>TechSource India</v>
      </c>
      <c r="K24" s="49" t="n">
        <f aca="false">IFERROR(INDEX(Suppliers!$D$5:$D$9,MATCH(D24,Suppliers!$C$5:$C$9,0)),0)</f>
        <v>7</v>
      </c>
      <c r="L24" s="50" t="n">
        <v>5.1</v>
      </c>
      <c r="M24" s="51" t="n">
        <f aca="false">IF(L24&gt;0,ROUND(F24/L24,1),"")</f>
        <v>47.5</v>
      </c>
      <c r="N24" s="52" t="str">
        <f aca="false">IF(I24="IN STOCK","-",IF(AND(M24&lt;&gt;"",M24&lt;K24),"CRITICAL",IF(I24="REORDER NOW","HIGH","MEDIUM")))</f>
        <v>-</v>
      </c>
      <c r="O24" s="49" t="n">
        <f aca="false">IF(I24="IN STOCK",0,MAX(0,ROUNDUP(G24*Settings!$B$6,0)-F24))</f>
        <v>0</v>
      </c>
      <c r="P24" s="53" t="n">
        <f aca="false">F24*H24</f>
        <v>2662</v>
      </c>
      <c r="Q24" s="53" t="n">
        <f aca="false">O24*H24</f>
        <v>0</v>
      </c>
      <c r="R24" s="54" t="str">
        <f aca="false">IF(I24="IN STOCK","",Settings!$B$7+K24)</f>
        <v/>
      </c>
      <c r="S24" s="48" t="str">
        <f aca="false">IF(N24="CRITICAL","Order immediately - stock-out before delivery",IF(N24="HIGH","Raise purchase order today",IF(N24="MEDIUM","Plan reorder this week","No action required")))</f>
        <v>No action required</v>
      </c>
      <c r="T24" s="55" t="n">
        <f aca="false">IF(I24="IN STOCK",0,IF(N24="CRITICAL",30,IF(N24="HIGH",20,10))+IF(G24&gt;0,(G24-F24)/G24,0)+ROW()/10000000)</f>
        <v>0</v>
      </c>
      <c r="U24" s="56" t="str">
        <f aca="false">IF(T24&gt;0,SUMPRODUCT(--($T$5:$T$104&gt;T24))+1,"")</f>
        <v/>
      </c>
    </row>
    <row r="25" customFormat="false" ht="15" hidden="false" customHeight="false" outlineLevel="0" collapsed="false">
      <c r="A25" s="43" t="n">
        <v>45292</v>
      </c>
      <c r="B25" s="44" t="s">
        <v>52</v>
      </c>
      <c r="C25" s="44" t="s">
        <v>100</v>
      </c>
      <c r="D25" s="44" t="s">
        <v>51</v>
      </c>
      <c r="E25" s="44" t="s">
        <v>68</v>
      </c>
      <c r="F25" s="45" t="n">
        <v>415</v>
      </c>
      <c r="G25" s="45" t="n">
        <v>27</v>
      </c>
      <c r="H25" s="46" t="n">
        <v>11.72</v>
      </c>
      <c r="I25" s="47" t="str">
        <f aca="false">IF(F25&lt;=G25,"REORDER NOW",IF(F25&lt;=G25*(1+Settings!$B$5),"LOW STOCK","IN STOCK"))</f>
        <v>IN STOCK</v>
      </c>
      <c r="J25" s="48" t="str">
        <f aca="false">IFERROR(INDEX(Suppliers!$B$5:$B$9,MATCH(D25,Suppliers!$C$5:$C$9,0)),"Unassigned")</f>
        <v>StyleHub Wholesale</v>
      </c>
      <c r="K25" s="49" t="n">
        <f aca="false">IFERROR(INDEX(Suppliers!$D$5:$D$9,MATCH(D25,Suppliers!$C$5:$C$9,0)),0)</f>
        <v>6</v>
      </c>
      <c r="L25" s="50" t="n">
        <v>5.3</v>
      </c>
      <c r="M25" s="51" t="n">
        <f aca="false">IF(L25&gt;0,ROUND(F25/L25,1),"")</f>
        <v>78.3</v>
      </c>
      <c r="N25" s="52" t="str">
        <f aca="false">IF(I25="IN STOCK","-",IF(AND(M25&lt;&gt;"",M25&lt;K25),"CRITICAL",IF(I25="REORDER NOW","HIGH","MEDIUM")))</f>
        <v>-</v>
      </c>
      <c r="O25" s="49" t="n">
        <f aca="false">IF(I25="IN STOCK",0,MAX(0,ROUNDUP(G25*Settings!$B$6,0)-F25))</f>
        <v>0</v>
      </c>
      <c r="P25" s="53" t="n">
        <f aca="false">F25*H25</f>
        <v>4863.8</v>
      </c>
      <c r="Q25" s="53" t="n">
        <f aca="false">O25*H25</f>
        <v>0</v>
      </c>
      <c r="R25" s="54" t="str">
        <f aca="false">IF(I25="IN STOCK","",Settings!$B$7+K25)</f>
        <v/>
      </c>
      <c r="S25" s="48" t="str">
        <f aca="false">IF(N25="CRITICAL","Order immediately - stock-out before delivery",IF(N25="HIGH","Raise purchase order today",IF(N25="MEDIUM","Plan reorder this week","No action required")))</f>
        <v>No action required</v>
      </c>
      <c r="T25" s="55" t="n">
        <f aca="false">IF(I25="IN STOCK",0,IF(N25="CRITICAL",30,IF(N25="HIGH",20,10))+IF(G25&gt;0,(G25-F25)/G25,0)+ROW()/10000000)</f>
        <v>0</v>
      </c>
      <c r="U25" s="56" t="str">
        <f aca="false">IF(T25&gt;0,SUMPRODUCT(--($T$5:$T$104&gt;T25))+1,"")</f>
        <v/>
      </c>
    </row>
    <row r="26" customFormat="false" ht="15" hidden="false" customHeight="false" outlineLevel="0" collapsed="false">
      <c r="A26" s="43" t="n">
        <v>45292</v>
      </c>
      <c r="B26" s="44" t="s">
        <v>52</v>
      </c>
      <c r="C26" s="44" t="s">
        <v>101</v>
      </c>
      <c r="D26" s="44" t="s">
        <v>57</v>
      </c>
      <c r="E26" s="44" t="s">
        <v>70</v>
      </c>
      <c r="F26" s="45" t="n">
        <v>364</v>
      </c>
      <c r="G26" s="45" t="n">
        <v>43</v>
      </c>
      <c r="H26" s="46" t="n">
        <v>57.66</v>
      </c>
      <c r="I26" s="47" t="str">
        <f aca="false">IF(F26&lt;=G26,"REORDER NOW",IF(F26&lt;=G26*(1+Settings!$B$5),"LOW STOCK","IN STOCK"))</f>
        <v>IN STOCK</v>
      </c>
      <c r="J26" s="48" t="str">
        <f aca="false">IFERROR(INDEX(Suppliers!$B$5:$B$9,MATCH(D26,Suppliers!$C$5:$C$9,0)),"Unassigned")</f>
        <v>FreshLink Traders</v>
      </c>
      <c r="K26" s="49" t="n">
        <f aca="false">IFERROR(INDEX(Suppliers!$D$5:$D$9,MATCH(D26,Suppliers!$C$5:$C$9,0)),0)</f>
        <v>2</v>
      </c>
      <c r="L26" s="50" t="n">
        <v>24.1</v>
      </c>
      <c r="M26" s="51" t="n">
        <f aca="false">IF(L26&gt;0,ROUND(F26/L26,1),"")</f>
        <v>15.1</v>
      </c>
      <c r="N26" s="52" t="str">
        <f aca="false">IF(I26="IN STOCK","-",IF(AND(M26&lt;&gt;"",M26&lt;K26),"CRITICAL",IF(I26="REORDER NOW","HIGH","MEDIUM")))</f>
        <v>-</v>
      </c>
      <c r="O26" s="49" t="n">
        <f aca="false">IF(I26="IN STOCK",0,MAX(0,ROUNDUP(G26*Settings!$B$6,0)-F26))</f>
        <v>0</v>
      </c>
      <c r="P26" s="53" t="n">
        <f aca="false">F26*H26</f>
        <v>20988.24</v>
      </c>
      <c r="Q26" s="53" t="n">
        <f aca="false">O26*H26</f>
        <v>0</v>
      </c>
      <c r="R26" s="54" t="str">
        <f aca="false">IF(I26="IN STOCK","",Settings!$B$7+K26)</f>
        <v/>
      </c>
      <c r="S26" s="48" t="str">
        <f aca="false">IF(N26="CRITICAL","Order immediately - stock-out before delivery",IF(N26="HIGH","Raise purchase order today",IF(N26="MEDIUM","Plan reorder this week","No action required")))</f>
        <v>No action required</v>
      </c>
      <c r="T26" s="55" t="n">
        <f aca="false">IF(I26="IN STOCK",0,IF(N26="CRITICAL",30,IF(N26="HIGH",20,10))+IF(G26&gt;0,(G26-F26)/G26,0)+ROW()/10000000)</f>
        <v>0</v>
      </c>
      <c r="U26" s="56" t="str">
        <f aca="false">IF(T26&gt;0,SUMPRODUCT(--($T$5:$T$104&gt;T26))+1,"")</f>
        <v/>
      </c>
    </row>
    <row r="27" customFormat="false" ht="15" hidden="false" customHeight="false" outlineLevel="0" collapsed="false">
      <c r="A27" s="43" t="n">
        <v>45292</v>
      </c>
      <c r="B27" s="44" t="s">
        <v>52</v>
      </c>
      <c r="C27" s="44" t="s">
        <v>102</v>
      </c>
      <c r="D27" s="44" t="s">
        <v>51</v>
      </c>
      <c r="E27" s="44" t="s">
        <v>72</v>
      </c>
      <c r="F27" s="45" t="n">
        <v>372</v>
      </c>
      <c r="G27" s="45" t="n">
        <v>112</v>
      </c>
      <c r="H27" s="46" t="n">
        <v>81.61</v>
      </c>
      <c r="I27" s="47" t="str">
        <f aca="false">IF(F27&lt;=G27,"REORDER NOW",IF(F27&lt;=G27*(1+Settings!$B$5),"LOW STOCK","IN STOCK"))</f>
        <v>IN STOCK</v>
      </c>
      <c r="J27" s="48" t="str">
        <f aca="false">IFERROR(INDEX(Suppliers!$B$5:$B$9,MATCH(D27,Suppliers!$C$5:$C$9,0)),"Unassigned")</f>
        <v>StyleHub Wholesale</v>
      </c>
      <c r="K27" s="49" t="n">
        <f aca="false">IFERROR(INDEX(Suppliers!$D$5:$D$9,MATCH(D27,Suppliers!$C$5:$C$9,0)),0)</f>
        <v>6</v>
      </c>
      <c r="L27" s="50" t="n">
        <v>16.9</v>
      </c>
      <c r="M27" s="51" t="n">
        <f aca="false">IF(L27&gt;0,ROUND(F27/L27,1),"")</f>
        <v>22</v>
      </c>
      <c r="N27" s="52" t="str">
        <f aca="false">IF(I27="IN STOCK","-",IF(AND(M27&lt;&gt;"",M27&lt;K27),"CRITICAL",IF(I27="REORDER NOW","HIGH","MEDIUM")))</f>
        <v>-</v>
      </c>
      <c r="O27" s="49" t="n">
        <f aca="false">IF(I27="IN STOCK",0,MAX(0,ROUNDUP(G27*Settings!$B$6,0)-F27))</f>
        <v>0</v>
      </c>
      <c r="P27" s="53" t="n">
        <f aca="false">F27*H27</f>
        <v>30358.92</v>
      </c>
      <c r="Q27" s="53" t="n">
        <f aca="false">O27*H27</f>
        <v>0</v>
      </c>
      <c r="R27" s="54" t="str">
        <f aca="false">IF(I27="IN STOCK","",Settings!$B$7+K27)</f>
        <v/>
      </c>
      <c r="S27" s="48" t="str">
        <f aca="false">IF(N27="CRITICAL","Order immediately - stock-out before delivery",IF(N27="HIGH","Raise purchase order today",IF(N27="MEDIUM","Plan reorder this week","No action required")))</f>
        <v>No action required</v>
      </c>
      <c r="T27" s="55" t="n">
        <f aca="false">IF(I27="IN STOCK",0,IF(N27="CRITICAL",30,IF(N27="HIGH",20,10))+IF(G27&gt;0,(G27-F27)/G27,0)+ROW()/10000000)</f>
        <v>0</v>
      </c>
      <c r="U27" s="56" t="str">
        <f aca="false">IF(T27&gt;0,SUMPRODUCT(--($T$5:$T$104&gt;T27))+1,"")</f>
        <v/>
      </c>
    </row>
    <row r="28" customFormat="false" ht="15" hidden="false" customHeight="false" outlineLevel="0" collapsed="false">
      <c r="A28" s="43" t="n">
        <v>45292</v>
      </c>
      <c r="B28" s="44" t="s">
        <v>52</v>
      </c>
      <c r="C28" s="44" t="s">
        <v>103</v>
      </c>
      <c r="D28" s="44" t="s">
        <v>59</v>
      </c>
      <c r="E28" s="44" t="s">
        <v>74</v>
      </c>
      <c r="F28" s="45" t="n">
        <v>133</v>
      </c>
      <c r="G28" s="45" t="n">
        <v>52</v>
      </c>
      <c r="H28" s="46" t="n">
        <v>25.28</v>
      </c>
      <c r="I28" s="47" t="str">
        <f aca="false">IF(F28&lt;=G28,"REORDER NOW",IF(F28&lt;=G28*(1+Settings!$B$5),"LOW STOCK","IN STOCK"))</f>
        <v>IN STOCK</v>
      </c>
      <c r="J28" s="48" t="str">
        <f aca="false">IFERROR(INDEX(Suppliers!$B$5:$B$9,MATCH(D28,Suppliers!$C$5:$C$9,0)),"Unassigned")</f>
        <v>PlayWorld Distributors</v>
      </c>
      <c r="K28" s="49" t="n">
        <f aca="false">IFERROR(INDEX(Suppliers!$D$5:$D$9,MATCH(D28,Suppliers!$C$5:$C$9,0)),0)</f>
        <v>5</v>
      </c>
      <c r="L28" s="50" t="n">
        <v>8.3</v>
      </c>
      <c r="M28" s="51" t="n">
        <f aca="false">IF(L28&gt;0,ROUND(F28/L28,1),"")</f>
        <v>16</v>
      </c>
      <c r="N28" s="52" t="str">
        <f aca="false">IF(I28="IN STOCK","-",IF(AND(M28&lt;&gt;"",M28&lt;K28),"CRITICAL",IF(I28="REORDER NOW","HIGH","MEDIUM")))</f>
        <v>-</v>
      </c>
      <c r="O28" s="49" t="n">
        <f aca="false">IF(I28="IN STOCK",0,MAX(0,ROUNDUP(G28*Settings!$B$6,0)-F28))</f>
        <v>0</v>
      </c>
      <c r="P28" s="53" t="n">
        <f aca="false">F28*H28</f>
        <v>3362.24</v>
      </c>
      <c r="Q28" s="53" t="n">
        <f aca="false">O28*H28</f>
        <v>0</v>
      </c>
      <c r="R28" s="54" t="str">
        <f aca="false">IF(I28="IN STOCK","",Settings!$B$7+K28)</f>
        <v/>
      </c>
      <c r="S28" s="48" t="str">
        <f aca="false">IF(N28="CRITICAL","Order immediately - stock-out before delivery",IF(N28="HIGH","Raise purchase order today",IF(N28="MEDIUM","Plan reorder this week","No action required")))</f>
        <v>No action required</v>
      </c>
      <c r="T28" s="55" t="n">
        <f aca="false">IF(I28="IN STOCK",0,IF(N28="CRITICAL",30,IF(N28="HIGH",20,10))+IF(G28&gt;0,(G28-F28)/G28,0)+ROW()/10000000)</f>
        <v>0</v>
      </c>
      <c r="U28" s="56" t="str">
        <f aca="false">IF(T28&gt;0,SUMPRODUCT(--($T$5:$T$104&gt;T28))+1,"")</f>
        <v/>
      </c>
    </row>
    <row r="29" customFormat="false" ht="15" hidden="false" customHeight="false" outlineLevel="0" collapsed="false">
      <c r="A29" s="43" t="n">
        <v>45292</v>
      </c>
      <c r="B29" s="44" t="s">
        <v>52</v>
      </c>
      <c r="C29" s="44" t="s">
        <v>104</v>
      </c>
      <c r="D29" s="44" t="s">
        <v>59</v>
      </c>
      <c r="E29" s="44" t="s">
        <v>74</v>
      </c>
      <c r="F29" s="45" t="n">
        <v>464</v>
      </c>
      <c r="G29" s="45" t="n">
        <v>198</v>
      </c>
      <c r="H29" s="46" t="n">
        <v>16.98</v>
      </c>
      <c r="I29" s="47" t="str">
        <f aca="false">IF(F29&lt;=G29,"REORDER NOW",IF(F29&lt;=G29*(1+Settings!$B$5),"LOW STOCK","IN STOCK"))</f>
        <v>IN STOCK</v>
      </c>
      <c r="J29" s="48" t="str">
        <f aca="false">IFERROR(INDEX(Suppliers!$B$5:$B$9,MATCH(D29,Suppliers!$C$5:$C$9,0)),"Unassigned")</f>
        <v>PlayWorld Distributors</v>
      </c>
      <c r="K29" s="49" t="n">
        <f aca="false">IFERROR(INDEX(Suppliers!$D$5:$D$9,MATCH(D29,Suppliers!$C$5:$C$9,0)),0)</f>
        <v>5</v>
      </c>
      <c r="L29" s="50" t="n">
        <v>50.5</v>
      </c>
      <c r="M29" s="51" t="n">
        <f aca="false">IF(L29&gt;0,ROUND(F29/L29,1),"")</f>
        <v>9.2</v>
      </c>
      <c r="N29" s="52" t="str">
        <f aca="false">IF(I29="IN STOCK","-",IF(AND(M29&lt;&gt;"",M29&lt;K29),"CRITICAL",IF(I29="REORDER NOW","HIGH","MEDIUM")))</f>
        <v>-</v>
      </c>
      <c r="O29" s="49" t="n">
        <f aca="false">IF(I29="IN STOCK",0,MAX(0,ROUNDUP(G29*Settings!$B$6,0)-F29))</f>
        <v>0</v>
      </c>
      <c r="P29" s="53" t="n">
        <f aca="false">F29*H29</f>
        <v>7878.72</v>
      </c>
      <c r="Q29" s="53" t="n">
        <f aca="false">O29*H29</f>
        <v>0</v>
      </c>
      <c r="R29" s="54" t="str">
        <f aca="false">IF(I29="IN STOCK","",Settings!$B$7+K29)</f>
        <v/>
      </c>
      <c r="S29" s="48" t="str">
        <f aca="false">IF(N29="CRITICAL","Order immediately - stock-out before delivery",IF(N29="HIGH","Raise purchase order today",IF(N29="MEDIUM","Plan reorder this week","No action required")))</f>
        <v>No action required</v>
      </c>
      <c r="T29" s="55" t="n">
        <f aca="false">IF(I29="IN STOCK",0,IF(N29="CRITICAL",30,IF(N29="HIGH",20,10))+IF(G29&gt;0,(G29-F29)/G29,0)+ROW()/10000000)</f>
        <v>0</v>
      </c>
      <c r="U29" s="56" t="str">
        <f aca="false">IF(T29&gt;0,SUMPRODUCT(--($T$5:$T$104&gt;T29))+1,"")</f>
        <v/>
      </c>
    </row>
    <row r="30" customFormat="false" ht="15" hidden="false" customHeight="false" outlineLevel="0" collapsed="false">
      <c r="A30" s="43" t="n">
        <v>45292</v>
      </c>
      <c r="B30" s="44" t="s">
        <v>52</v>
      </c>
      <c r="C30" s="44" t="s">
        <v>105</v>
      </c>
      <c r="D30" s="44" t="s">
        <v>59</v>
      </c>
      <c r="E30" s="44" t="s">
        <v>68</v>
      </c>
      <c r="F30" s="45" t="n">
        <v>160</v>
      </c>
      <c r="G30" s="45" t="n">
        <v>151</v>
      </c>
      <c r="H30" s="46" t="n">
        <v>19.06</v>
      </c>
      <c r="I30" s="47" t="str">
        <f aca="false">IF(F30&lt;=G30,"REORDER NOW",IF(F30&lt;=G30*(1+Settings!$B$5),"LOW STOCK","IN STOCK"))</f>
        <v>LOW STOCK</v>
      </c>
      <c r="J30" s="48" t="str">
        <f aca="false">IFERROR(INDEX(Suppliers!$B$5:$B$9,MATCH(D30,Suppliers!$C$5:$C$9,0)),"Unassigned")</f>
        <v>PlayWorld Distributors</v>
      </c>
      <c r="K30" s="49" t="n">
        <f aca="false">IFERROR(INDEX(Suppliers!$D$5:$D$9,MATCH(D30,Suppliers!$C$5:$C$9,0)),0)</f>
        <v>5</v>
      </c>
      <c r="L30" s="50" t="n">
        <v>27.2</v>
      </c>
      <c r="M30" s="51" t="n">
        <f aca="false">IF(L30&gt;0,ROUND(F30/L30,1),"")</f>
        <v>5.9</v>
      </c>
      <c r="N30" s="52" t="str">
        <f aca="false">IF(I30="IN STOCK","-",IF(AND(M30&lt;&gt;"",M30&lt;K30),"CRITICAL",IF(I30="REORDER NOW","HIGH","MEDIUM")))</f>
        <v>MEDIUM</v>
      </c>
      <c r="O30" s="49" t="n">
        <f aca="false">IF(I30="IN STOCK",0,MAX(0,ROUNDUP(G30*Settings!$B$6,0)-F30))</f>
        <v>293</v>
      </c>
      <c r="P30" s="53" t="n">
        <f aca="false">F30*H30</f>
        <v>3049.6</v>
      </c>
      <c r="Q30" s="53" t="n">
        <f aca="false">O30*H30</f>
        <v>5584.58</v>
      </c>
      <c r="R30" s="54" t="n">
        <f aca="false">IF(I30="IN STOCK","",Settings!$B$7+K30)</f>
        <v>45297</v>
      </c>
      <c r="S30" s="48" t="str">
        <f aca="false">IF(N30="CRITICAL","Order immediately - stock-out before delivery",IF(N30="HIGH","Raise purchase order today",IF(N30="MEDIUM","Plan reorder this week","No action required")))</f>
        <v>Plan reorder this week</v>
      </c>
      <c r="T30" s="55" t="n">
        <f aca="false">IF(I30="IN STOCK",0,IF(N30="CRITICAL",30,IF(N30="HIGH",20,10))+IF(G30&gt;0,(G30-F30)/G30,0)+ROW()/10000000)</f>
        <v>9.94040035099338</v>
      </c>
      <c r="U30" s="56" t="n">
        <f aca="false">IF(T30&gt;0,SUMPRODUCT(--($T$5:$T$104&gt;T30))+1,"")</f>
        <v>11</v>
      </c>
    </row>
    <row r="31" customFormat="false" ht="15" hidden="false" customHeight="false" outlineLevel="0" collapsed="false">
      <c r="A31" s="43" t="n">
        <v>45292</v>
      </c>
      <c r="B31" s="44" t="s">
        <v>52</v>
      </c>
      <c r="C31" s="44" t="s">
        <v>106</v>
      </c>
      <c r="D31" s="44" t="s">
        <v>59</v>
      </c>
      <c r="E31" s="44" t="s">
        <v>74</v>
      </c>
      <c r="F31" s="45" t="n">
        <v>53</v>
      </c>
      <c r="G31" s="45" t="n">
        <v>-6</v>
      </c>
      <c r="H31" s="46" t="n">
        <v>63.66</v>
      </c>
      <c r="I31" s="47" t="str">
        <f aca="false">IF(F31&lt;=G31,"REORDER NOW",IF(F31&lt;=G31*(1+Settings!$B$5),"LOW STOCK","IN STOCK"))</f>
        <v>IN STOCK</v>
      </c>
      <c r="J31" s="48" t="str">
        <f aca="false">IFERROR(INDEX(Suppliers!$B$5:$B$9,MATCH(D31,Suppliers!$C$5:$C$9,0)),"Unassigned")</f>
        <v>PlayWorld Distributors</v>
      </c>
      <c r="K31" s="49" t="n">
        <f aca="false">IFERROR(INDEX(Suppliers!$D$5:$D$9,MATCH(D31,Suppliers!$C$5:$C$9,0)),0)</f>
        <v>5</v>
      </c>
      <c r="L31" s="50" t="n">
        <v>0.5</v>
      </c>
      <c r="M31" s="51" t="n">
        <f aca="false">IF(L31&gt;0,ROUND(F31/L31,1),"")</f>
        <v>106</v>
      </c>
      <c r="N31" s="52" t="str">
        <f aca="false">IF(I31="IN STOCK","-",IF(AND(M31&lt;&gt;"",M31&lt;K31),"CRITICAL",IF(I31="REORDER NOW","HIGH","MEDIUM")))</f>
        <v>-</v>
      </c>
      <c r="O31" s="49" t="n">
        <f aca="false">IF(I31="IN STOCK",0,MAX(0,ROUNDUP(G31*Settings!$B$6,0)-F31))</f>
        <v>0</v>
      </c>
      <c r="P31" s="53" t="n">
        <f aca="false">F31*H31</f>
        <v>3373.98</v>
      </c>
      <c r="Q31" s="53" t="n">
        <f aca="false">O31*H31</f>
        <v>0</v>
      </c>
      <c r="R31" s="54" t="str">
        <f aca="false">IF(I31="IN STOCK","",Settings!$B$7+K31)</f>
        <v/>
      </c>
      <c r="S31" s="48" t="str">
        <f aca="false">IF(N31="CRITICAL","Order immediately - stock-out before delivery",IF(N31="HIGH","Raise purchase order today",IF(N31="MEDIUM","Plan reorder this week","No action required")))</f>
        <v>No action required</v>
      </c>
      <c r="T31" s="55" t="n">
        <f aca="false">IF(I31="IN STOCK",0,IF(N31="CRITICAL",30,IF(N31="HIGH",20,10))+IF(G31&gt;0,(G31-F31)/G31,0)+ROW()/10000000)</f>
        <v>0</v>
      </c>
      <c r="U31" s="56" t="str">
        <f aca="false">IF(T31&gt;0,SUMPRODUCT(--($T$5:$T$104&gt;T31))+1,"")</f>
        <v/>
      </c>
    </row>
    <row r="32" customFormat="false" ht="15" hidden="false" customHeight="false" outlineLevel="0" collapsed="false">
      <c r="A32" s="43" t="n">
        <v>45292</v>
      </c>
      <c r="B32" s="44" t="s">
        <v>52</v>
      </c>
      <c r="C32" s="44" t="s">
        <v>107</v>
      </c>
      <c r="D32" s="44" t="s">
        <v>55</v>
      </c>
      <c r="E32" s="44" t="s">
        <v>70</v>
      </c>
      <c r="F32" s="45" t="n">
        <v>218</v>
      </c>
      <c r="G32" s="45" t="n">
        <v>52</v>
      </c>
      <c r="H32" s="46" t="n">
        <v>90.38</v>
      </c>
      <c r="I32" s="47" t="str">
        <f aca="false">IF(F32&lt;=G32,"REORDER NOW",IF(F32&lt;=G32*(1+Settings!$B$5),"LOW STOCK","IN STOCK"))</f>
        <v>IN STOCK</v>
      </c>
      <c r="J32" s="48" t="str">
        <f aca="false">IFERROR(INDEX(Suppliers!$B$5:$B$9,MATCH(D32,Suppliers!$C$5:$C$9,0)),"Unassigned")</f>
        <v>HomeCraft Suppliers</v>
      </c>
      <c r="K32" s="49" t="n">
        <f aca="false">IFERROR(INDEX(Suppliers!$D$5:$D$9,MATCH(D32,Suppliers!$C$5:$C$9,0)),0)</f>
        <v>12</v>
      </c>
      <c r="L32" s="50" t="n">
        <v>3.3</v>
      </c>
      <c r="M32" s="51" t="n">
        <f aca="false">IF(L32&gt;0,ROUND(F32/L32,1),"")</f>
        <v>66.1</v>
      </c>
      <c r="N32" s="52" t="str">
        <f aca="false">IF(I32="IN STOCK","-",IF(AND(M32&lt;&gt;"",M32&lt;K32),"CRITICAL",IF(I32="REORDER NOW","HIGH","MEDIUM")))</f>
        <v>-</v>
      </c>
      <c r="O32" s="49" t="n">
        <f aca="false">IF(I32="IN STOCK",0,MAX(0,ROUNDUP(G32*Settings!$B$6,0)-F32))</f>
        <v>0</v>
      </c>
      <c r="P32" s="53" t="n">
        <f aca="false">F32*H32</f>
        <v>19702.84</v>
      </c>
      <c r="Q32" s="53" t="n">
        <f aca="false">O32*H32</f>
        <v>0</v>
      </c>
      <c r="R32" s="54" t="str">
        <f aca="false">IF(I32="IN STOCK","",Settings!$B$7+K32)</f>
        <v/>
      </c>
      <c r="S32" s="48" t="str">
        <f aca="false">IF(N32="CRITICAL","Order immediately - stock-out before delivery",IF(N32="HIGH","Raise purchase order today",IF(N32="MEDIUM","Plan reorder this week","No action required")))</f>
        <v>No action required</v>
      </c>
      <c r="T32" s="55" t="n">
        <f aca="false">IF(I32="IN STOCK",0,IF(N32="CRITICAL",30,IF(N32="HIGH",20,10))+IF(G32&gt;0,(G32-F32)/G32,0)+ROW()/10000000)</f>
        <v>0</v>
      </c>
      <c r="U32" s="56" t="str">
        <f aca="false">IF(T32&gt;0,SUMPRODUCT(--($T$5:$T$104&gt;T32))+1,"")</f>
        <v/>
      </c>
    </row>
    <row r="33" customFormat="false" ht="15" hidden="false" customHeight="false" outlineLevel="0" collapsed="false">
      <c r="A33" s="43" t="n">
        <v>45292</v>
      </c>
      <c r="B33" s="44" t="s">
        <v>52</v>
      </c>
      <c r="C33" s="44" t="s">
        <v>108</v>
      </c>
      <c r="D33" s="44" t="s">
        <v>53</v>
      </c>
      <c r="E33" s="44" t="s">
        <v>70</v>
      </c>
      <c r="F33" s="45" t="n">
        <v>62</v>
      </c>
      <c r="G33" s="45" t="n">
        <v>38</v>
      </c>
      <c r="H33" s="46" t="n">
        <v>45.97</v>
      </c>
      <c r="I33" s="47" t="str">
        <f aca="false">IF(F33&lt;=G33,"REORDER NOW",IF(F33&lt;=G33*(1+Settings!$B$5),"LOW STOCK","IN STOCK"))</f>
        <v>IN STOCK</v>
      </c>
      <c r="J33" s="48" t="str">
        <f aca="false">IFERROR(INDEX(Suppliers!$B$5:$B$9,MATCH(D33,Suppliers!$C$5:$C$9,0)),"Unassigned")</f>
        <v>TechSource India</v>
      </c>
      <c r="K33" s="49" t="n">
        <f aca="false">IFERROR(INDEX(Suppliers!$D$5:$D$9,MATCH(D33,Suppliers!$C$5:$C$9,0)),0)</f>
        <v>7</v>
      </c>
      <c r="L33" s="50" t="n">
        <v>6.6</v>
      </c>
      <c r="M33" s="51" t="n">
        <f aca="false">IF(L33&gt;0,ROUND(F33/L33,1),"")</f>
        <v>9.4</v>
      </c>
      <c r="N33" s="52" t="str">
        <f aca="false">IF(I33="IN STOCK","-",IF(AND(M33&lt;&gt;"",M33&lt;K33),"CRITICAL",IF(I33="REORDER NOW","HIGH","MEDIUM")))</f>
        <v>-</v>
      </c>
      <c r="O33" s="49" t="n">
        <f aca="false">IF(I33="IN STOCK",0,MAX(0,ROUNDUP(G33*Settings!$B$6,0)-F33))</f>
        <v>0</v>
      </c>
      <c r="P33" s="53" t="n">
        <f aca="false">F33*H33</f>
        <v>2850.14</v>
      </c>
      <c r="Q33" s="53" t="n">
        <f aca="false">O33*H33</f>
        <v>0</v>
      </c>
      <c r="R33" s="54" t="str">
        <f aca="false">IF(I33="IN STOCK","",Settings!$B$7+K33)</f>
        <v/>
      </c>
      <c r="S33" s="48" t="str">
        <f aca="false">IF(N33="CRITICAL","Order immediately - stock-out before delivery",IF(N33="HIGH","Raise purchase order today",IF(N33="MEDIUM","Plan reorder this week","No action required")))</f>
        <v>No action required</v>
      </c>
      <c r="T33" s="55" t="n">
        <f aca="false">IF(I33="IN STOCK",0,IF(N33="CRITICAL",30,IF(N33="HIGH",20,10))+IF(G33&gt;0,(G33-F33)/G33,0)+ROW()/10000000)</f>
        <v>0</v>
      </c>
      <c r="U33" s="56" t="str">
        <f aca="false">IF(T33&gt;0,SUMPRODUCT(--($T$5:$T$104&gt;T33))+1,"")</f>
        <v/>
      </c>
    </row>
    <row r="34" customFormat="false" ht="15" hidden="false" customHeight="false" outlineLevel="0" collapsed="false">
      <c r="A34" s="43" t="n">
        <v>45292</v>
      </c>
      <c r="B34" s="44" t="s">
        <v>52</v>
      </c>
      <c r="C34" s="44" t="s">
        <v>109</v>
      </c>
      <c r="D34" s="44" t="s">
        <v>59</v>
      </c>
      <c r="E34" s="44" t="s">
        <v>74</v>
      </c>
      <c r="F34" s="45" t="n">
        <v>419</v>
      </c>
      <c r="G34" s="45" t="n">
        <v>346</v>
      </c>
      <c r="H34" s="46" t="n">
        <v>33.48</v>
      </c>
      <c r="I34" s="47" t="str">
        <f aca="false">IF(F34&lt;=G34,"REORDER NOW",IF(F34&lt;=G34*(1+Settings!$B$5),"LOW STOCK","IN STOCK"))</f>
        <v>LOW STOCK</v>
      </c>
      <c r="J34" s="48" t="str">
        <f aca="false">IFERROR(INDEX(Suppliers!$B$5:$B$9,MATCH(D34,Suppliers!$C$5:$C$9,0)),"Unassigned")</f>
        <v>PlayWorld Distributors</v>
      </c>
      <c r="K34" s="49" t="n">
        <f aca="false">IFERROR(INDEX(Suppliers!$D$5:$D$9,MATCH(D34,Suppliers!$C$5:$C$9,0)),0)</f>
        <v>5</v>
      </c>
      <c r="L34" s="50" t="n">
        <v>73.5</v>
      </c>
      <c r="M34" s="51" t="n">
        <f aca="false">IF(L34&gt;0,ROUND(F34/L34,1),"")</f>
        <v>5.7</v>
      </c>
      <c r="N34" s="52" t="str">
        <f aca="false">IF(I34="IN STOCK","-",IF(AND(M34&lt;&gt;"",M34&lt;K34),"CRITICAL",IF(I34="REORDER NOW","HIGH","MEDIUM")))</f>
        <v>MEDIUM</v>
      </c>
      <c r="O34" s="49" t="n">
        <f aca="false">IF(I34="IN STOCK",0,MAX(0,ROUNDUP(G34*Settings!$B$6,0)-F34))</f>
        <v>619</v>
      </c>
      <c r="P34" s="53" t="n">
        <f aca="false">F34*H34</f>
        <v>14028.12</v>
      </c>
      <c r="Q34" s="53" t="n">
        <f aca="false">O34*H34</f>
        <v>20724.12</v>
      </c>
      <c r="R34" s="54" t="n">
        <f aca="false">IF(I34="IN STOCK","",Settings!$B$7+K34)</f>
        <v>45297</v>
      </c>
      <c r="S34" s="48" t="str">
        <f aca="false">IF(N34="CRITICAL","Order immediately - stock-out before delivery",IF(N34="HIGH","Raise purchase order today",IF(N34="MEDIUM","Plan reorder this week","No action required")))</f>
        <v>Plan reorder this week</v>
      </c>
      <c r="T34" s="55" t="n">
        <f aca="false">IF(I34="IN STOCK",0,IF(N34="CRITICAL",30,IF(N34="HIGH",20,10))+IF(G34&gt;0,(G34-F34)/G34,0)+ROW()/10000000)</f>
        <v>9.78902074104046</v>
      </c>
      <c r="U34" s="56" t="n">
        <f aca="false">IF(T34&gt;0,SUMPRODUCT(--($T$5:$T$104&gt;T34))+1,"")</f>
        <v>18</v>
      </c>
    </row>
    <row r="35" customFormat="false" ht="15" hidden="false" customHeight="false" outlineLevel="0" collapsed="false">
      <c r="A35" s="43" t="n">
        <v>45292</v>
      </c>
      <c r="B35" s="44" t="s">
        <v>52</v>
      </c>
      <c r="C35" s="44" t="s">
        <v>110</v>
      </c>
      <c r="D35" s="44" t="s">
        <v>57</v>
      </c>
      <c r="E35" s="44" t="s">
        <v>74</v>
      </c>
      <c r="F35" s="45" t="n">
        <v>156</v>
      </c>
      <c r="G35" s="45" t="n">
        <v>53</v>
      </c>
      <c r="H35" s="46" t="n">
        <v>99.13</v>
      </c>
      <c r="I35" s="47" t="str">
        <f aca="false">IF(F35&lt;=G35,"REORDER NOW",IF(F35&lt;=G35*(1+Settings!$B$5),"LOW STOCK","IN STOCK"))</f>
        <v>IN STOCK</v>
      </c>
      <c r="J35" s="48" t="str">
        <f aca="false">IFERROR(INDEX(Suppliers!$B$5:$B$9,MATCH(D35,Suppliers!$C$5:$C$9,0)),"Unassigned")</f>
        <v>FreshLink Traders</v>
      </c>
      <c r="K35" s="49" t="n">
        <f aca="false">IFERROR(INDEX(Suppliers!$D$5:$D$9,MATCH(D35,Suppliers!$C$5:$C$9,0)),0)</f>
        <v>2</v>
      </c>
      <c r="L35" s="50" t="n">
        <v>31.4</v>
      </c>
      <c r="M35" s="51" t="n">
        <f aca="false">IF(L35&gt;0,ROUND(F35/L35,1),"")</f>
        <v>5</v>
      </c>
      <c r="N35" s="52" t="str">
        <f aca="false">IF(I35="IN STOCK","-",IF(AND(M35&lt;&gt;"",M35&lt;K35),"CRITICAL",IF(I35="REORDER NOW","HIGH","MEDIUM")))</f>
        <v>-</v>
      </c>
      <c r="O35" s="49" t="n">
        <f aca="false">IF(I35="IN STOCK",0,MAX(0,ROUNDUP(G35*Settings!$B$6,0)-F35))</f>
        <v>0</v>
      </c>
      <c r="P35" s="53" t="n">
        <f aca="false">F35*H35</f>
        <v>15464.28</v>
      </c>
      <c r="Q35" s="53" t="n">
        <f aca="false">O35*H35</f>
        <v>0</v>
      </c>
      <c r="R35" s="54" t="str">
        <f aca="false">IF(I35="IN STOCK","",Settings!$B$7+K35)</f>
        <v/>
      </c>
      <c r="S35" s="48" t="str">
        <f aca="false">IF(N35="CRITICAL","Order immediately - stock-out before delivery",IF(N35="HIGH","Raise purchase order today",IF(N35="MEDIUM","Plan reorder this week","No action required")))</f>
        <v>No action required</v>
      </c>
      <c r="T35" s="55" t="n">
        <f aca="false">IF(I35="IN STOCK",0,IF(N35="CRITICAL",30,IF(N35="HIGH",20,10))+IF(G35&gt;0,(G35-F35)/G35,0)+ROW()/10000000)</f>
        <v>0</v>
      </c>
      <c r="U35" s="56" t="str">
        <f aca="false">IF(T35&gt;0,SUMPRODUCT(--($T$5:$T$104&gt;T35))+1,"")</f>
        <v/>
      </c>
    </row>
    <row r="36" customFormat="false" ht="15" hidden="false" customHeight="false" outlineLevel="0" collapsed="false">
      <c r="A36" s="43" t="n">
        <v>45292</v>
      </c>
      <c r="B36" s="44" t="s">
        <v>52</v>
      </c>
      <c r="C36" s="44" t="s">
        <v>111</v>
      </c>
      <c r="D36" s="44" t="s">
        <v>53</v>
      </c>
      <c r="E36" s="44" t="s">
        <v>70</v>
      </c>
      <c r="F36" s="45" t="n">
        <v>193</v>
      </c>
      <c r="G36" s="45" t="n">
        <v>140</v>
      </c>
      <c r="H36" s="46" t="n">
        <v>52.5</v>
      </c>
      <c r="I36" s="47" t="str">
        <f aca="false">IF(F36&lt;=G36,"REORDER NOW",IF(F36&lt;=G36*(1+Settings!$B$5),"LOW STOCK","IN STOCK"))</f>
        <v>IN STOCK</v>
      </c>
      <c r="J36" s="48" t="str">
        <f aca="false">IFERROR(INDEX(Suppliers!$B$5:$B$9,MATCH(D36,Suppliers!$C$5:$C$9,0)),"Unassigned")</f>
        <v>TechSource India</v>
      </c>
      <c r="K36" s="49" t="n">
        <f aca="false">IFERROR(INDEX(Suppliers!$D$5:$D$9,MATCH(D36,Suppliers!$C$5:$C$9,0)),0)</f>
        <v>7</v>
      </c>
      <c r="L36" s="50" t="n">
        <v>22.8</v>
      </c>
      <c r="M36" s="51" t="n">
        <f aca="false">IF(L36&gt;0,ROUND(F36/L36,1),"")</f>
        <v>8.5</v>
      </c>
      <c r="N36" s="52" t="str">
        <f aca="false">IF(I36="IN STOCK","-",IF(AND(M36&lt;&gt;"",M36&lt;K36),"CRITICAL",IF(I36="REORDER NOW","HIGH","MEDIUM")))</f>
        <v>-</v>
      </c>
      <c r="O36" s="49" t="n">
        <f aca="false">IF(I36="IN STOCK",0,MAX(0,ROUNDUP(G36*Settings!$B$6,0)-F36))</f>
        <v>0</v>
      </c>
      <c r="P36" s="53" t="n">
        <f aca="false">F36*H36</f>
        <v>10132.5</v>
      </c>
      <c r="Q36" s="53" t="n">
        <f aca="false">O36*H36</f>
        <v>0</v>
      </c>
      <c r="R36" s="54" t="str">
        <f aca="false">IF(I36="IN STOCK","",Settings!$B$7+K36)</f>
        <v/>
      </c>
      <c r="S36" s="48" t="str">
        <f aca="false">IF(N36="CRITICAL","Order immediately - stock-out before delivery",IF(N36="HIGH","Raise purchase order today",IF(N36="MEDIUM","Plan reorder this week","No action required")))</f>
        <v>No action required</v>
      </c>
      <c r="T36" s="55" t="n">
        <f aca="false">IF(I36="IN STOCK",0,IF(N36="CRITICAL",30,IF(N36="HIGH",20,10))+IF(G36&gt;0,(G36-F36)/G36,0)+ROW()/10000000)</f>
        <v>0</v>
      </c>
      <c r="U36" s="56" t="str">
        <f aca="false">IF(T36&gt;0,SUMPRODUCT(--($T$5:$T$104&gt;T36))+1,"")</f>
        <v/>
      </c>
    </row>
    <row r="37" customFormat="false" ht="15" hidden="false" customHeight="false" outlineLevel="0" collapsed="false">
      <c r="A37" s="43" t="n">
        <v>45292</v>
      </c>
      <c r="B37" s="44" t="s">
        <v>52</v>
      </c>
      <c r="C37" s="44" t="s">
        <v>112</v>
      </c>
      <c r="D37" s="44" t="s">
        <v>53</v>
      </c>
      <c r="E37" s="44" t="s">
        <v>72</v>
      </c>
      <c r="F37" s="45" t="n">
        <v>472</v>
      </c>
      <c r="G37" s="45" t="n">
        <v>27</v>
      </c>
      <c r="H37" s="46" t="n">
        <v>67.26</v>
      </c>
      <c r="I37" s="47" t="str">
        <f aca="false">IF(F37&lt;=G37,"REORDER NOW",IF(F37&lt;=G37*(1+Settings!$B$5),"LOW STOCK","IN STOCK"))</f>
        <v>IN STOCK</v>
      </c>
      <c r="J37" s="48" t="str">
        <f aca="false">IFERROR(INDEX(Suppliers!$B$5:$B$9,MATCH(D37,Suppliers!$C$5:$C$9,0)),"Unassigned")</f>
        <v>TechSource India</v>
      </c>
      <c r="K37" s="49" t="n">
        <f aca="false">IFERROR(INDEX(Suppliers!$D$5:$D$9,MATCH(D37,Suppliers!$C$5:$C$9,0)),0)</f>
        <v>7</v>
      </c>
      <c r="L37" s="50" t="n">
        <v>3.9</v>
      </c>
      <c r="M37" s="51" t="n">
        <f aca="false">IF(L37&gt;0,ROUND(F37/L37,1),"")</f>
        <v>121</v>
      </c>
      <c r="N37" s="52" t="str">
        <f aca="false">IF(I37="IN STOCK","-",IF(AND(M37&lt;&gt;"",M37&lt;K37),"CRITICAL",IF(I37="REORDER NOW","HIGH","MEDIUM")))</f>
        <v>-</v>
      </c>
      <c r="O37" s="49" t="n">
        <f aca="false">IF(I37="IN STOCK",0,MAX(0,ROUNDUP(G37*Settings!$B$6,0)-F37))</f>
        <v>0</v>
      </c>
      <c r="P37" s="53" t="n">
        <f aca="false">F37*H37</f>
        <v>31746.72</v>
      </c>
      <c r="Q37" s="53" t="n">
        <f aca="false">O37*H37</f>
        <v>0</v>
      </c>
      <c r="R37" s="54" t="str">
        <f aca="false">IF(I37="IN STOCK","",Settings!$B$7+K37)</f>
        <v/>
      </c>
      <c r="S37" s="48" t="str">
        <f aca="false">IF(N37="CRITICAL","Order immediately - stock-out before delivery",IF(N37="HIGH","Raise purchase order today",IF(N37="MEDIUM","Plan reorder this week","No action required")))</f>
        <v>No action required</v>
      </c>
      <c r="T37" s="55" t="n">
        <f aca="false">IF(I37="IN STOCK",0,IF(N37="CRITICAL",30,IF(N37="HIGH",20,10))+IF(G37&gt;0,(G37-F37)/G37,0)+ROW()/10000000)</f>
        <v>0</v>
      </c>
      <c r="U37" s="56" t="str">
        <f aca="false">IF(T37&gt;0,SUMPRODUCT(--($T$5:$T$104&gt;T37))+1,"")</f>
        <v/>
      </c>
    </row>
    <row r="38" customFormat="false" ht="15" hidden="false" customHeight="false" outlineLevel="0" collapsed="false">
      <c r="A38" s="43" t="n">
        <v>45292</v>
      </c>
      <c r="B38" s="44" t="s">
        <v>52</v>
      </c>
      <c r="C38" s="44" t="s">
        <v>113</v>
      </c>
      <c r="D38" s="44" t="s">
        <v>51</v>
      </c>
      <c r="E38" s="44" t="s">
        <v>74</v>
      </c>
      <c r="F38" s="45" t="n">
        <v>342</v>
      </c>
      <c r="G38" s="45" t="n">
        <v>336</v>
      </c>
      <c r="H38" s="46" t="n">
        <v>70.31</v>
      </c>
      <c r="I38" s="47" t="str">
        <f aca="false">IF(F38&lt;=G38,"REORDER NOW",IF(F38&lt;=G38*(1+Settings!$B$5),"LOW STOCK","IN STOCK"))</f>
        <v>LOW STOCK</v>
      </c>
      <c r="J38" s="48" t="str">
        <f aca="false">IFERROR(INDEX(Suppliers!$B$5:$B$9,MATCH(D38,Suppliers!$C$5:$C$9,0)),"Unassigned")</f>
        <v>StyleHub Wholesale</v>
      </c>
      <c r="K38" s="49" t="n">
        <f aca="false">IFERROR(INDEX(Suppliers!$D$5:$D$9,MATCH(D38,Suppliers!$C$5:$C$9,0)),0)</f>
        <v>6</v>
      </c>
      <c r="L38" s="50" t="n">
        <v>71.9</v>
      </c>
      <c r="M38" s="51" t="n">
        <f aca="false">IF(L38&gt;0,ROUND(F38/L38,1),"")</f>
        <v>4.8</v>
      </c>
      <c r="N38" s="52" t="str">
        <f aca="false">IF(I38="IN STOCK","-",IF(AND(M38&lt;&gt;"",M38&lt;K38),"CRITICAL",IF(I38="REORDER NOW","HIGH","MEDIUM")))</f>
        <v>CRITICAL</v>
      </c>
      <c r="O38" s="49" t="n">
        <f aca="false">IF(I38="IN STOCK",0,MAX(0,ROUNDUP(G38*Settings!$B$6,0)-F38))</f>
        <v>666</v>
      </c>
      <c r="P38" s="53" t="n">
        <f aca="false">F38*H38</f>
        <v>24046.02</v>
      </c>
      <c r="Q38" s="53" t="n">
        <f aca="false">O38*H38</f>
        <v>46826.46</v>
      </c>
      <c r="R38" s="54" t="n">
        <f aca="false">IF(I38="IN STOCK","",Settings!$B$7+K38)</f>
        <v>45298</v>
      </c>
      <c r="S38" s="48" t="str">
        <f aca="false">IF(N38="CRITICAL","Order immediately - stock-out before delivery",IF(N38="HIGH","Raise purchase order today",IF(N38="MEDIUM","Plan reorder this week","No action required")))</f>
        <v>Order immediately - stock-out before delivery</v>
      </c>
      <c r="T38" s="55" t="n">
        <f aca="false">IF(I38="IN STOCK",0,IF(N38="CRITICAL",30,IF(N38="HIGH",20,10))+IF(G38&gt;0,(G38-F38)/G38,0)+ROW()/10000000)</f>
        <v>29.9821466571429</v>
      </c>
      <c r="U38" s="56" t="n">
        <f aca="false">IF(T38&gt;0,SUMPRODUCT(--($T$5:$T$104&gt;T38))+1,"")</f>
        <v>5</v>
      </c>
    </row>
    <row r="39" customFormat="false" ht="15" hidden="false" customHeight="false" outlineLevel="0" collapsed="false">
      <c r="A39" s="43" t="n">
        <v>45292</v>
      </c>
      <c r="B39" s="44" t="s">
        <v>52</v>
      </c>
      <c r="C39" s="44" t="s">
        <v>114</v>
      </c>
      <c r="D39" s="44" t="s">
        <v>59</v>
      </c>
      <c r="E39" s="44" t="s">
        <v>72</v>
      </c>
      <c r="F39" s="45" t="n">
        <v>433</v>
      </c>
      <c r="G39" s="45" t="n">
        <v>186</v>
      </c>
      <c r="H39" s="46" t="n">
        <v>67.54</v>
      </c>
      <c r="I39" s="47" t="str">
        <f aca="false">IF(F39&lt;=G39,"REORDER NOW",IF(F39&lt;=G39*(1+Settings!$B$5),"LOW STOCK","IN STOCK"))</f>
        <v>IN STOCK</v>
      </c>
      <c r="J39" s="48" t="str">
        <f aca="false">IFERROR(INDEX(Suppliers!$B$5:$B$9,MATCH(D39,Suppliers!$C$5:$C$9,0)),"Unassigned")</f>
        <v>PlayWorld Distributors</v>
      </c>
      <c r="K39" s="49" t="n">
        <f aca="false">IFERROR(INDEX(Suppliers!$D$5:$D$9,MATCH(D39,Suppliers!$C$5:$C$9,0)),0)</f>
        <v>5</v>
      </c>
      <c r="L39" s="50" t="n">
        <v>34.5</v>
      </c>
      <c r="M39" s="51" t="n">
        <f aca="false">IF(L39&gt;0,ROUND(F39/L39,1),"")</f>
        <v>12.6</v>
      </c>
      <c r="N39" s="52" t="str">
        <f aca="false">IF(I39="IN STOCK","-",IF(AND(M39&lt;&gt;"",M39&lt;K39),"CRITICAL",IF(I39="REORDER NOW","HIGH","MEDIUM")))</f>
        <v>-</v>
      </c>
      <c r="O39" s="49" t="n">
        <f aca="false">IF(I39="IN STOCK",0,MAX(0,ROUNDUP(G39*Settings!$B$6,0)-F39))</f>
        <v>0</v>
      </c>
      <c r="P39" s="53" t="n">
        <f aca="false">F39*H39</f>
        <v>29244.82</v>
      </c>
      <c r="Q39" s="53" t="n">
        <f aca="false">O39*H39</f>
        <v>0</v>
      </c>
      <c r="R39" s="54" t="str">
        <f aca="false">IF(I39="IN STOCK","",Settings!$B$7+K39)</f>
        <v/>
      </c>
      <c r="S39" s="48" t="str">
        <f aca="false">IF(N39="CRITICAL","Order immediately - stock-out before delivery",IF(N39="HIGH","Raise purchase order today",IF(N39="MEDIUM","Plan reorder this week","No action required")))</f>
        <v>No action required</v>
      </c>
      <c r="T39" s="55" t="n">
        <f aca="false">IF(I39="IN STOCK",0,IF(N39="CRITICAL",30,IF(N39="HIGH",20,10))+IF(G39&gt;0,(G39-F39)/G39,0)+ROW()/10000000)</f>
        <v>0</v>
      </c>
      <c r="U39" s="56" t="str">
        <f aca="false">IF(T39&gt;0,SUMPRODUCT(--($T$5:$T$104&gt;T39))+1,"")</f>
        <v/>
      </c>
    </row>
    <row r="40" customFormat="false" ht="15" hidden="false" customHeight="false" outlineLevel="0" collapsed="false">
      <c r="A40" s="43" t="n">
        <v>45292</v>
      </c>
      <c r="B40" s="44" t="s">
        <v>52</v>
      </c>
      <c r="C40" s="44" t="s">
        <v>115</v>
      </c>
      <c r="D40" s="44" t="s">
        <v>59</v>
      </c>
      <c r="E40" s="44" t="s">
        <v>70</v>
      </c>
      <c r="F40" s="45" t="n">
        <v>258</v>
      </c>
      <c r="G40" s="45" t="n">
        <v>108</v>
      </c>
      <c r="H40" s="46" t="n">
        <v>41.3</v>
      </c>
      <c r="I40" s="47" t="str">
        <f aca="false">IF(F40&lt;=G40,"REORDER NOW",IF(F40&lt;=G40*(1+Settings!$B$5),"LOW STOCK","IN STOCK"))</f>
        <v>IN STOCK</v>
      </c>
      <c r="J40" s="48" t="str">
        <f aca="false">IFERROR(INDEX(Suppliers!$B$5:$B$9,MATCH(D40,Suppliers!$C$5:$C$9,0)),"Unassigned")</f>
        <v>PlayWorld Distributors</v>
      </c>
      <c r="K40" s="49" t="n">
        <f aca="false">IFERROR(INDEX(Suppliers!$D$5:$D$9,MATCH(D40,Suppliers!$C$5:$C$9,0)),0)</f>
        <v>5</v>
      </c>
      <c r="L40" s="50" t="n">
        <v>22.3</v>
      </c>
      <c r="M40" s="51" t="n">
        <f aca="false">IF(L40&gt;0,ROUND(F40/L40,1),"")</f>
        <v>11.6</v>
      </c>
      <c r="N40" s="52" t="str">
        <f aca="false">IF(I40="IN STOCK","-",IF(AND(M40&lt;&gt;"",M40&lt;K40),"CRITICAL",IF(I40="REORDER NOW","HIGH","MEDIUM")))</f>
        <v>-</v>
      </c>
      <c r="O40" s="49" t="n">
        <f aca="false">IF(I40="IN STOCK",0,MAX(0,ROUNDUP(G40*Settings!$B$6,0)-F40))</f>
        <v>0</v>
      </c>
      <c r="P40" s="53" t="n">
        <f aca="false">F40*H40</f>
        <v>10655.4</v>
      </c>
      <c r="Q40" s="53" t="n">
        <f aca="false">O40*H40</f>
        <v>0</v>
      </c>
      <c r="R40" s="54" t="str">
        <f aca="false">IF(I40="IN STOCK","",Settings!$B$7+K40)</f>
        <v/>
      </c>
      <c r="S40" s="48" t="str">
        <f aca="false">IF(N40="CRITICAL","Order immediately - stock-out before delivery",IF(N40="HIGH","Raise purchase order today",IF(N40="MEDIUM","Plan reorder this week","No action required")))</f>
        <v>No action required</v>
      </c>
      <c r="T40" s="55" t="n">
        <f aca="false">IF(I40="IN STOCK",0,IF(N40="CRITICAL",30,IF(N40="HIGH",20,10))+IF(G40&gt;0,(G40-F40)/G40,0)+ROW()/10000000)</f>
        <v>0</v>
      </c>
      <c r="U40" s="56" t="str">
        <f aca="false">IF(T40&gt;0,SUMPRODUCT(--($T$5:$T$104&gt;T40))+1,"")</f>
        <v/>
      </c>
    </row>
    <row r="41" customFormat="false" ht="15" hidden="false" customHeight="false" outlineLevel="0" collapsed="false">
      <c r="A41" s="43" t="n">
        <v>45292</v>
      </c>
      <c r="B41" s="44" t="s">
        <v>52</v>
      </c>
      <c r="C41" s="44" t="s">
        <v>116</v>
      </c>
      <c r="D41" s="44" t="s">
        <v>59</v>
      </c>
      <c r="E41" s="44" t="s">
        <v>68</v>
      </c>
      <c r="F41" s="45" t="n">
        <v>236</v>
      </c>
      <c r="G41" s="45" t="n">
        <v>4</v>
      </c>
      <c r="H41" s="46" t="n">
        <v>47.83</v>
      </c>
      <c r="I41" s="47" t="str">
        <f aca="false">IF(F41&lt;=G41,"REORDER NOW",IF(F41&lt;=G41*(1+Settings!$B$5),"LOW STOCK","IN STOCK"))</f>
        <v>IN STOCK</v>
      </c>
      <c r="J41" s="48" t="str">
        <f aca="false">IFERROR(INDEX(Suppliers!$B$5:$B$9,MATCH(D41,Suppliers!$C$5:$C$9,0)),"Unassigned")</f>
        <v>PlayWorld Distributors</v>
      </c>
      <c r="K41" s="49" t="n">
        <f aca="false">IFERROR(INDEX(Suppliers!$D$5:$D$9,MATCH(D41,Suppliers!$C$5:$C$9,0)),0)</f>
        <v>5</v>
      </c>
      <c r="L41" s="50" t="n">
        <v>1</v>
      </c>
      <c r="M41" s="51" t="n">
        <f aca="false">IF(L41&gt;0,ROUND(F41/L41,1),"")</f>
        <v>236</v>
      </c>
      <c r="N41" s="52" t="str">
        <f aca="false">IF(I41="IN STOCK","-",IF(AND(M41&lt;&gt;"",M41&lt;K41),"CRITICAL",IF(I41="REORDER NOW","HIGH","MEDIUM")))</f>
        <v>-</v>
      </c>
      <c r="O41" s="49" t="n">
        <f aca="false">IF(I41="IN STOCK",0,MAX(0,ROUNDUP(G41*Settings!$B$6,0)-F41))</f>
        <v>0</v>
      </c>
      <c r="P41" s="53" t="n">
        <f aca="false">F41*H41</f>
        <v>11287.88</v>
      </c>
      <c r="Q41" s="53" t="n">
        <f aca="false">O41*H41</f>
        <v>0</v>
      </c>
      <c r="R41" s="54" t="str">
        <f aca="false">IF(I41="IN STOCK","",Settings!$B$7+K41)</f>
        <v/>
      </c>
      <c r="S41" s="48" t="str">
        <f aca="false">IF(N41="CRITICAL","Order immediately - stock-out before delivery",IF(N41="HIGH","Raise purchase order today",IF(N41="MEDIUM","Plan reorder this week","No action required")))</f>
        <v>No action required</v>
      </c>
      <c r="T41" s="55" t="n">
        <f aca="false">IF(I41="IN STOCK",0,IF(N41="CRITICAL",30,IF(N41="HIGH",20,10))+IF(G41&gt;0,(G41-F41)/G41,0)+ROW()/10000000)</f>
        <v>0</v>
      </c>
      <c r="U41" s="56" t="str">
        <f aca="false">IF(T41&gt;0,SUMPRODUCT(--($T$5:$T$104&gt;T41))+1,"")</f>
        <v/>
      </c>
    </row>
    <row r="42" customFormat="false" ht="15" hidden="false" customHeight="false" outlineLevel="0" collapsed="false">
      <c r="A42" s="43" t="n">
        <v>45292</v>
      </c>
      <c r="B42" s="44" t="s">
        <v>52</v>
      </c>
      <c r="C42" s="44" t="s">
        <v>117</v>
      </c>
      <c r="D42" s="44" t="s">
        <v>57</v>
      </c>
      <c r="E42" s="44" t="s">
        <v>68</v>
      </c>
      <c r="F42" s="45" t="n">
        <v>151</v>
      </c>
      <c r="G42" s="45" t="n">
        <v>33</v>
      </c>
      <c r="H42" s="46" t="n">
        <v>32.84</v>
      </c>
      <c r="I42" s="47" t="str">
        <f aca="false">IF(F42&lt;=G42,"REORDER NOW",IF(F42&lt;=G42*(1+Settings!$B$5),"LOW STOCK","IN STOCK"))</f>
        <v>IN STOCK</v>
      </c>
      <c r="J42" s="48" t="str">
        <f aca="false">IFERROR(INDEX(Suppliers!$B$5:$B$9,MATCH(D42,Suppliers!$C$5:$C$9,0)),"Unassigned")</f>
        <v>FreshLink Traders</v>
      </c>
      <c r="K42" s="49" t="n">
        <f aca="false">IFERROR(INDEX(Suppliers!$D$5:$D$9,MATCH(D42,Suppliers!$C$5:$C$9,0)),0)</f>
        <v>2</v>
      </c>
      <c r="L42" s="50" t="n">
        <v>17.7</v>
      </c>
      <c r="M42" s="51" t="n">
        <f aca="false">IF(L42&gt;0,ROUND(F42/L42,1),"")</f>
        <v>8.5</v>
      </c>
      <c r="N42" s="52" t="str">
        <f aca="false">IF(I42="IN STOCK","-",IF(AND(M42&lt;&gt;"",M42&lt;K42),"CRITICAL",IF(I42="REORDER NOW","HIGH","MEDIUM")))</f>
        <v>-</v>
      </c>
      <c r="O42" s="49" t="n">
        <f aca="false">IF(I42="IN STOCK",0,MAX(0,ROUNDUP(G42*Settings!$B$6,0)-F42))</f>
        <v>0</v>
      </c>
      <c r="P42" s="53" t="n">
        <f aca="false">F42*H42</f>
        <v>4958.84</v>
      </c>
      <c r="Q42" s="53" t="n">
        <f aca="false">O42*H42</f>
        <v>0</v>
      </c>
      <c r="R42" s="54" t="str">
        <f aca="false">IF(I42="IN STOCK","",Settings!$B$7+K42)</f>
        <v/>
      </c>
      <c r="S42" s="48" t="str">
        <f aca="false">IF(N42="CRITICAL","Order immediately - stock-out before delivery",IF(N42="HIGH","Raise purchase order today",IF(N42="MEDIUM","Plan reorder this week","No action required")))</f>
        <v>No action required</v>
      </c>
      <c r="T42" s="55" t="n">
        <f aca="false">IF(I42="IN STOCK",0,IF(N42="CRITICAL",30,IF(N42="HIGH",20,10))+IF(G42&gt;0,(G42-F42)/G42,0)+ROW()/10000000)</f>
        <v>0</v>
      </c>
      <c r="U42" s="56" t="str">
        <f aca="false">IF(T42&gt;0,SUMPRODUCT(--($T$5:$T$104&gt;T42))+1,"")</f>
        <v/>
      </c>
    </row>
    <row r="43" customFormat="false" ht="15" hidden="false" customHeight="false" outlineLevel="0" collapsed="false">
      <c r="A43" s="43" t="n">
        <v>45292</v>
      </c>
      <c r="B43" s="44" t="s">
        <v>52</v>
      </c>
      <c r="C43" s="44" t="s">
        <v>118</v>
      </c>
      <c r="D43" s="44" t="s">
        <v>55</v>
      </c>
      <c r="E43" s="44" t="s">
        <v>74</v>
      </c>
      <c r="F43" s="45" t="n">
        <v>409</v>
      </c>
      <c r="G43" s="45" t="n">
        <v>230</v>
      </c>
      <c r="H43" s="46" t="n">
        <v>54.27</v>
      </c>
      <c r="I43" s="47" t="str">
        <f aca="false">IF(F43&lt;=G43,"REORDER NOW",IF(F43&lt;=G43*(1+Settings!$B$5),"LOW STOCK","IN STOCK"))</f>
        <v>IN STOCK</v>
      </c>
      <c r="J43" s="48" t="str">
        <f aca="false">IFERROR(INDEX(Suppliers!$B$5:$B$9,MATCH(D43,Suppliers!$C$5:$C$9,0)),"Unassigned")</f>
        <v>HomeCraft Suppliers</v>
      </c>
      <c r="K43" s="49" t="n">
        <f aca="false">IFERROR(INDEX(Suppliers!$D$5:$D$9,MATCH(D43,Suppliers!$C$5:$C$9,0)),0)</f>
        <v>12</v>
      </c>
      <c r="L43" s="50" t="n">
        <v>23.3</v>
      </c>
      <c r="M43" s="51" t="n">
        <f aca="false">IF(L43&gt;0,ROUND(F43/L43,1),"")</f>
        <v>17.6</v>
      </c>
      <c r="N43" s="52" t="str">
        <f aca="false">IF(I43="IN STOCK","-",IF(AND(M43&lt;&gt;"",M43&lt;K43),"CRITICAL",IF(I43="REORDER NOW","HIGH","MEDIUM")))</f>
        <v>-</v>
      </c>
      <c r="O43" s="49" t="n">
        <f aca="false">IF(I43="IN STOCK",0,MAX(0,ROUNDUP(G43*Settings!$B$6,0)-F43))</f>
        <v>0</v>
      </c>
      <c r="P43" s="53" t="n">
        <f aca="false">F43*H43</f>
        <v>22196.43</v>
      </c>
      <c r="Q43" s="53" t="n">
        <f aca="false">O43*H43</f>
        <v>0</v>
      </c>
      <c r="R43" s="54" t="str">
        <f aca="false">IF(I43="IN STOCK","",Settings!$B$7+K43)</f>
        <v/>
      </c>
      <c r="S43" s="48" t="str">
        <f aca="false">IF(N43="CRITICAL","Order immediately - stock-out before delivery",IF(N43="HIGH","Raise purchase order today",IF(N43="MEDIUM","Plan reorder this week","No action required")))</f>
        <v>No action required</v>
      </c>
      <c r="T43" s="55" t="n">
        <f aca="false">IF(I43="IN STOCK",0,IF(N43="CRITICAL",30,IF(N43="HIGH",20,10))+IF(G43&gt;0,(G43-F43)/G43,0)+ROW()/10000000)</f>
        <v>0</v>
      </c>
      <c r="U43" s="56" t="str">
        <f aca="false">IF(T43&gt;0,SUMPRODUCT(--($T$5:$T$104&gt;T43))+1,"")</f>
        <v/>
      </c>
    </row>
    <row r="44" customFormat="false" ht="15" hidden="false" customHeight="false" outlineLevel="0" collapsed="false">
      <c r="A44" s="43" t="n">
        <v>45292</v>
      </c>
      <c r="B44" s="44" t="s">
        <v>52</v>
      </c>
      <c r="C44" s="44" t="s">
        <v>119</v>
      </c>
      <c r="D44" s="44" t="s">
        <v>57</v>
      </c>
      <c r="E44" s="44" t="s">
        <v>68</v>
      </c>
      <c r="F44" s="45" t="n">
        <v>284</v>
      </c>
      <c r="G44" s="45" t="n">
        <v>223</v>
      </c>
      <c r="H44" s="46" t="n">
        <v>75.94</v>
      </c>
      <c r="I44" s="47" t="str">
        <f aca="false">IF(F44&lt;=G44,"REORDER NOW",IF(F44&lt;=G44*(1+Settings!$B$5),"LOW STOCK","IN STOCK"))</f>
        <v>IN STOCK</v>
      </c>
      <c r="J44" s="48" t="str">
        <f aca="false">IFERROR(INDEX(Suppliers!$B$5:$B$9,MATCH(D44,Suppliers!$C$5:$C$9,0)),"Unassigned")</f>
        <v>FreshLink Traders</v>
      </c>
      <c r="K44" s="49" t="n">
        <f aca="false">IFERROR(INDEX(Suppliers!$D$5:$D$9,MATCH(D44,Suppliers!$C$5:$C$9,0)),0)</f>
        <v>2</v>
      </c>
      <c r="L44" s="50" t="n">
        <v>116.7</v>
      </c>
      <c r="M44" s="51" t="n">
        <f aca="false">IF(L44&gt;0,ROUND(F44/L44,1),"")</f>
        <v>2.4</v>
      </c>
      <c r="N44" s="52" t="str">
        <f aca="false">IF(I44="IN STOCK","-",IF(AND(M44&lt;&gt;"",M44&lt;K44),"CRITICAL",IF(I44="REORDER NOW","HIGH","MEDIUM")))</f>
        <v>-</v>
      </c>
      <c r="O44" s="49" t="n">
        <f aca="false">IF(I44="IN STOCK",0,MAX(0,ROUNDUP(G44*Settings!$B$6,0)-F44))</f>
        <v>0</v>
      </c>
      <c r="P44" s="53" t="n">
        <f aca="false">F44*H44</f>
        <v>21566.96</v>
      </c>
      <c r="Q44" s="53" t="n">
        <f aca="false">O44*H44</f>
        <v>0</v>
      </c>
      <c r="R44" s="54" t="str">
        <f aca="false">IF(I44="IN STOCK","",Settings!$B$7+K44)</f>
        <v/>
      </c>
      <c r="S44" s="48" t="str">
        <f aca="false">IF(N44="CRITICAL","Order immediately - stock-out before delivery",IF(N44="HIGH","Raise purchase order today",IF(N44="MEDIUM","Plan reorder this week","No action required")))</f>
        <v>No action required</v>
      </c>
      <c r="T44" s="55" t="n">
        <f aca="false">IF(I44="IN STOCK",0,IF(N44="CRITICAL",30,IF(N44="HIGH",20,10))+IF(G44&gt;0,(G44-F44)/G44,0)+ROW()/10000000)</f>
        <v>0</v>
      </c>
      <c r="U44" s="56" t="str">
        <f aca="false">IF(T44&gt;0,SUMPRODUCT(--($T$5:$T$104&gt;T44))+1,"")</f>
        <v/>
      </c>
    </row>
    <row r="45" customFormat="false" ht="15" hidden="false" customHeight="false" outlineLevel="0" collapsed="false">
      <c r="A45" s="43" t="n">
        <v>45292</v>
      </c>
      <c r="B45" s="44" t="s">
        <v>54</v>
      </c>
      <c r="C45" s="44" t="s">
        <v>100</v>
      </c>
      <c r="D45" s="44" t="s">
        <v>51</v>
      </c>
      <c r="E45" s="44" t="s">
        <v>74</v>
      </c>
      <c r="F45" s="45" t="n">
        <v>138</v>
      </c>
      <c r="G45" s="45" t="n">
        <v>120</v>
      </c>
      <c r="H45" s="46" t="n">
        <v>52.72</v>
      </c>
      <c r="I45" s="47" t="str">
        <f aca="false">IF(F45&lt;=G45,"REORDER NOW",IF(F45&lt;=G45*(1+Settings!$B$5),"LOW STOCK","IN STOCK"))</f>
        <v>LOW STOCK</v>
      </c>
      <c r="J45" s="48" t="str">
        <f aca="false">IFERROR(INDEX(Suppliers!$B$5:$B$9,MATCH(D45,Suppliers!$C$5:$C$9,0)),"Unassigned")</f>
        <v>StyleHub Wholesale</v>
      </c>
      <c r="K45" s="49" t="n">
        <f aca="false">IFERROR(INDEX(Suppliers!$D$5:$D$9,MATCH(D45,Suppliers!$C$5:$C$9,0)),0)</f>
        <v>6</v>
      </c>
      <c r="L45" s="50" t="n">
        <v>22.5</v>
      </c>
      <c r="M45" s="51" t="n">
        <f aca="false">IF(L45&gt;0,ROUND(F45/L45,1),"")</f>
        <v>6.1</v>
      </c>
      <c r="N45" s="52" t="str">
        <f aca="false">IF(I45="IN STOCK","-",IF(AND(M45&lt;&gt;"",M45&lt;K45),"CRITICAL",IF(I45="REORDER NOW","HIGH","MEDIUM")))</f>
        <v>MEDIUM</v>
      </c>
      <c r="O45" s="49" t="n">
        <f aca="false">IF(I45="IN STOCK",0,MAX(0,ROUNDUP(G45*Settings!$B$6,0)-F45))</f>
        <v>222</v>
      </c>
      <c r="P45" s="53" t="n">
        <f aca="false">F45*H45</f>
        <v>7275.36</v>
      </c>
      <c r="Q45" s="53" t="n">
        <f aca="false">O45*H45</f>
        <v>11703.84</v>
      </c>
      <c r="R45" s="54" t="n">
        <f aca="false">IF(I45="IN STOCK","",Settings!$B$7+K45)</f>
        <v>45298</v>
      </c>
      <c r="S45" s="48" t="str">
        <f aca="false">IF(N45="CRITICAL","Order immediately - stock-out before delivery",IF(N45="HIGH","Raise purchase order today",IF(N45="MEDIUM","Plan reorder this week","No action required")))</f>
        <v>Plan reorder this week</v>
      </c>
      <c r="T45" s="55" t="n">
        <f aca="false">IF(I45="IN STOCK",0,IF(N45="CRITICAL",30,IF(N45="HIGH",20,10))+IF(G45&gt;0,(G45-F45)/G45,0)+ROW()/10000000)</f>
        <v>9.8500045</v>
      </c>
      <c r="U45" s="56" t="n">
        <f aca="false">IF(T45&gt;0,SUMPRODUCT(--($T$5:$T$104&gt;T45))+1,"")</f>
        <v>14</v>
      </c>
    </row>
    <row r="46" customFormat="false" ht="15" hidden="false" customHeight="false" outlineLevel="0" collapsed="false">
      <c r="A46" s="43" t="n">
        <v>45292</v>
      </c>
      <c r="B46" s="44" t="s">
        <v>54</v>
      </c>
      <c r="C46" s="44" t="s">
        <v>101</v>
      </c>
      <c r="D46" s="44" t="s">
        <v>57</v>
      </c>
      <c r="E46" s="44" t="s">
        <v>72</v>
      </c>
      <c r="F46" s="45" t="n">
        <v>388</v>
      </c>
      <c r="G46" s="45" t="n">
        <v>235</v>
      </c>
      <c r="H46" s="46" t="n">
        <v>39.66</v>
      </c>
      <c r="I46" s="47" t="str">
        <f aca="false">IF(F46&lt;=G46,"REORDER NOW",IF(F46&lt;=G46*(1+Settings!$B$5),"LOW STOCK","IN STOCK"))</f>
        <v>IN STOCK</v>
      </c>
      <c r="J46" s="48" t="str">
        <f aca="false">IFERROR(INDEX(Suppliers!$B$5:$B$9,MATCH(D46,Suppliers!$C$5:$C$9,0)),"Unassigned")</f>
        <v>FreshLink Traders</v>
      </c>
      <c r="K46" s="49" t="n">
        <f aca="false">IFERROR(INDEX(Suppliers!$D$5:$D$9,MATCH(D46,Suppliers!$C$5:$C$9,0)),0)</f>
        <v>2</v>
      </c>
      <c r="L46" s="50" t="n">
        <v>85.5</v>
      </c>
      <c r="M46" s="51" t="n">
        <f aca="false">IF(L46&gt;0,ROUND(F46/L46,1),"")</f>
        <v>4.5</v>
      </c>
      <c r="N46" s="52" t="str">
        <f aca="false">IF(I46="IN STOCK","-",IF(AND(M46&lt;&gt;"",M46&lt;K46),"CRITICAL",IF(I46="REORDER NOW","HIGH","MEDIUM")))</f>
        <v>-</v>
      </c>
      <c r="O46" s="49" t="n">
        <f aca="false">IF(I46="IN STOCK",0,MAX(0,ROUNDUP(G46*Settings!$B$6,0)-F46))</f>
        <v>0</v>
      </c>
      <c r="P46" s="53" t="n">
        <f aca="false">F46*H46</f>
        <v>15388.08</v>
      </c>
      <c r="Q46" s="53" t="n">
        <f aca="false">O46*H46</f>
        <v>0</v>
      </c>
      <c r="R46" s="54" t="str">
        <f aca="false">IF(I46="IN STOCK","",Settings!$B$7+K46)</f>
        <v/>
      </c>
      <c r="S46" s="48" t="str">
        <f aca="false">IF(N46="CRITICAL","Order immediately - stock-out before delivery",IF(N46="HIGH","Raise purchase order today",IF(N46="MEDIUM","Plan reorder this week","No action required")))</f>
        <v>No action required</v>
      </c>
      <c r="T46" s="55" t="n">
        <f aca="false">IF(I46="IN STOCK",0,IF(N46="CRITICAL",30,IF(N46="HIGH",20,10))+IF(G46&gt;0,(G46-F46)/G46,0)+ROW()/10000000)</f>
        <v>0</v>
      </c>
      <c r="U46" s="56" t="str">
        <f aca="false">IF(T46&gt;0,SUMPRODUCT(--($T$5:$T$104&gt;T46))+1,"")</f>
        <v/>
      </c>
    </row>
    <row r="47" customFormat="false" ht="15" hidden="false" customHeight="false" outlineLevel="0" collapsed="false">
      <c r="A47" s="43" t="n">
        <v>45292</v>
      </c>
      <c r="B47" s="44" t="s">
        <v>54</v>
      </c>
      <c r="C47" s="44" t="s">
        <v>102</v>
      </c>
      <c r="D47" s="44" t="s">
        <v>57</v>
      </c>
      <c r="E47" s="44" t="s">
        <v>70</v>
      </c>
      <c r="F47" s="45" t="n">
        <v>112</v>
      </c>
      <c r="G47" s="45" t="n">
        <v>1</v>
      </c>
      <c r="H47" s="46" t="n">
        <v>41.99</v>
      </c>
      <c r="I47" s="47" t="str">
        <f aca="false">IF(F47&lt;=G47,"REORDER NOW",IF(F47&lt;=G47*(1+Settings!$B$5),"LOW STOCK","IN STOCK"))</f>
        <v>IN STOCK</v>
      </c>
      <c r="J47" s="48" t="str">
        <f aca="false">IFERROR(INDEX(Suppliers!$B$5:$B$9,MATCH(D47,Suppliers!$C$5:$C$9,0)),"Unassigned")</f>
        <v>FreshLink Traders</v>
      </c>
      <c r="K47" s="49" t="n">
        <f aca="false">IFERROR(INDEX(Suppliers!$D$5:$D$9,MATCH(D47,Suppliers!$C$5:$C$9,0)),0)</f>
        <v>2</v>
      </c>
      <c r="L47" s="50" t="n">
        <v>0.5</v>
      </c>
      <c r="M47" s="51" t="n">
        <f aca="false">IF(L47&gt;0,ROUND(F47/L47,1),"")</f>
        <v>224</v>
      </c>
      <c r="N47" s="52" t="str">
        <f aca="false">IF(I47="IN STOCK","-",IF(AND(M47&lt;&gt;"",M47&lt;K47),"CRITICAL",IF(I47="REORDER NOW","HIGH","MEDIUM")))</f>
        <v>-</v>
      </c>
      <c r="O47" s="49" t="n">
        <f aca="false">IF(I47="IN STOCK",0,MAX(0,ROUNDUP(G47*Settings!$B$6,0)-F47))</f>
        <v>0</v>
      </c>
      <c r="P47" s="53" t="n">
        <f aca="false">F47*H47</f>
        <v>4702.88</v>
      </c>
      <c r="Q47" s="53" t="n">
        <f aca="false">O47*H47</f>
        <v>0</v>
      </c>
      <c r="R47" s="54" t="str">
        <f aca="false">IF(I47="IN STOCK","",Settings!$B$7+K47)</f>
        <v/>
      </c>
      <c r="S47" s="48" t="str">
        <f aca="false">IF(N47="CRITICAL","Order immediately - stock-out before delivery",IF(N47="HIGH","Raise purchase order today",IF(N47="MEDIUM","Plan reorder this week","No action required")))</f>
        <v>No action required</v>
      </c>
      <c r="T47" s="55" t="n">
        <f aca="false">IF(I47="IN STOCK",0,IF(N47="CRITICAL",30,IF(N47="HIGH",20,10))+IF(G47&gt;0,(G47-F47)/G47,0)+ROW()/10000000)</f>
        <v>0</v>
      </c>
      <c r="U47" s="56" t="str">
        <f aca="false">IF(T47&gt;0,SUMPRODUCT(--($T$5:$T$104&gt;T47))+1,"")</f>
        <v/>
      </c>
    </row>
    <row r="48" customFormat="false" ht="15" hidden="false" customHeight="false" outlineLevel="0" collapsed="false">
      <c r="A48" s="43" t="n">
        <v>45292</v>
      </c>
      <c r="B48" s="44" t="s">
        <v>54</v>
      </c>
      <c r="C48" s="44" t="s">
        <v>103</v>
      </c>
      <c r="D48" s="44" t="s">
        <v>57</v>
      </c>
      <c r="E48" s="44" t="s">
        <v>70</v>
      </c>
      <c r="F48" s="45" t="n">
        <v>415</v>
      </c>
      <c r="G48" s="45" t="n">
        <v>55</v>
      </c>
      <c r="H48" s="46" t="n">
        <v>72.75</v>
      </c>
      <c r="I48" s="47" t="str">
        <f aca="false">IF(F48&lt;=G48,"REORDER NOW",IF(F48&lt;=G48*(1+Settings!$B$5),"LOW STOCK","IN STOCK"))</f>
        <v>IN STOCK</v>
      </c>
      <c r="J48" s="48" t="str">
        <f aca="false">IFERROR(INDEX(Suppliers!$B$5:$B$9,MATCH(D48,Suppliers!$C$5:$C$9,0)),"Unassigned")</f>
        <v>FreshLink Traders</v>
      </c>
      <c r="K48" s="49" t="n">
        <f aca="false">IFERROR(INDEX(Suppliers!$D$5:$D$9,MATCH(D48,Suppliers!$C$5:$C$9,0)),0)</f>
        <v>2</v>
      </c>
      <c r="L48" s="50" t="n">
        <v>24</v>
      </c>
      <c r="M48" s="51" t="n">
        <f aca="false">IF(L48&gt;0,ROUND(F48/L48,1),"")</f>
        <v>17.3</v>
      </c>
      <c r="N48" s="52" t="str">
        <f aca="false">IF(I48="IN STOCK","-",IF(AND(M48&lt;&gt;"",M48&lt;K48),"CRITICAL",IF(I48="REORDER NOW","HIGH","MEDIUM")))</f>
        <v>-</v>
      </c>
      <c r="O48" s="49" t="n">
        <f aca="false">IF(I48="IN STOCK",0,MAX(0,ROUNDUP(G48*Settings!$B$6,0)-F48))</f>
        <v>0</v>
      </c>
      <c r="P48" s="53" t="n">
        <f aca="false">F48*H48</f>
        <v>30191.25</v>
      </c>
      <c r="Q48" s="53" t="n">
        <f aca="false">O48*H48</f>
        <v>0</v>
      </c>
      <c r="R48" s="54" t="str">
        <f aca="false">IF(I48="IN STOCK","",Settings!$B$7+K48)</f>
        <v/>
      </c>
      <c r="S48" s="48" t="str">
        <f aca="false">IF(N48="CRITICAL","Order immediately - stock-out before delivery",IF(N48="HIGH","Raise purchase order today",IF(N48="MEDIUM","Plan reorder this week","No action required")))</f>
        <v>No action required</v>
      </c>
      <c r="T48" s="55" t="n">
        <f aca="false">IF(I48="IN STOCK",0,IF(N48="CRITICAL",30,IF(N48="HIGH",20,10))+IF(G48&gt;0,(G48-F48)/G48,0)+ROW()/10000000)</f>
        <v>0</v>
      </c>
      <c r="U48" s="56" t="str">
        <f aca="false">IF(T48&gt;0,SUMPRODUCT(--($T$5:$T$104&gt;T48))+1,"")</f>
        <v/>
      </c>
    </row>
    <row r="49" customFormat="false" ht="15" hidden="false" customHeight="false" outlineLevel="0" collapsed="false">
      <c r="A49" s="43" t="n">
        <v>45292</v>
      </c>
      <c r="B49" s="44" t="s">
        <v>54</v>
      </c>
      <c r="C49" s="44" t="s">
        <v>104</v>
      </c>
      <c r="D49" s="44" t="s">
        <v>53</v>
      </c>
      <c r="E49" s="44" t="s">
        <v>74</v>
      </c>
      <c r="F49" s="45" t="n">
        <v>411</v>
      </c>
      <c r="G49" s="45" t="n">
        <v>298</v>
      </c>
      <c r="H49" s="46" t="n">
        <v>82.16</v>
      </c>
      <c r="I49" s="47" t="str">
        <f aca="false">IF(F49&lt;=G49,"REORDER NOW",IF(F49&lt;=G49*(1+Settings!$B$5),"LOW STOCK","IN STOCK"))</f>
        <v>IN STOCK</v>
      </c>
      <c r="J49" s="48" t="str">
        <f aca="false">IFERROR(INDEX(Suppliers!$B$5:$B$9,MATCH(D49,Suppliers!$C$5:$C$9,0)),"Unassigned")</f>
        <v>TechSource India</v>
      </c>
      <c r="K49" s="49" t="n">
        <f aca="false">IFERROR(INDEX(Suppliers!$D$5:$D$9,MATCH(D49,Suppliers!$C$5:$C$9,0)),0)</f>
        <v>7</v>
      </c>
      <c r="L49" s="50" t="n">
        <v>31.8</v>
      </c>
      <c r="M49" s="51" t="n">
        <f aca="false">IF(L49&gt;0,ROUND(F49/L49,1),"")</f>
        <v>12.9</v>
      </c>
      <c r="N49" s="52" t="str">
        <f aca="false">IF(I49="IN STOCK","-",IF(AND(M49&lt;&gt;"",M49&lt;K49),"CRITICAL",IF(I49="REORDER NOW","HIGH","MEDIUM")))</f>
        <v>-</v>
      </c>
      <c r="O49" s="49" t="n">
        <f aca="false">IF(I49="IN STOCK",0,MAX(0,ROUNDUP(G49*Settings!$B$6,0)-F49))</f>
        <v>0</v>
      </c>
      <c r="P49" s="53" t="n">
        <f aca="false">F49*H49</f>
        <v>33767.76</v>
      </c>
      <c r="Q49" s="53" t="n">
        <f aca="false">O49*H49</f>
        <v>0</v>
      </c>
      <c r="R49" s="54" t="str">
        <f aca="false">IF(I49="IN STOCK","",Settings!$B$7+K49)</f>
        <v/>
      </c>
      <c r="S49" s="48" t="str">
        <f aca="false">IF(N49="CRITICAL","Order immediately - stock-out before delivery",IF(N49="HIGH","Raise purchase order today",IF(N49="MEDIUM","Plan reorder this week","No action required")))</f>
        <v>No action required</v>
      </c>
      <c r="T49" s="55" t="n">
        <f aca="false">IF(I49="IN STOCK",0,IF(N49="CRITICAL",30,IF(N49="HIGH",20,10))+IF(G49&gt;0,(G49-F49)/G49,0)+ROW()/10000000)</f>
        <v>0</v>
      </c>
      <c r="U49" s="56" t="str">
        <f aca="false">IF(T49&gt;0,SUMPRODUCT(--($T$5:$T$104&gt;T49))+1,"")</f>
        <v/>
      </c>
    </row>
    <row r="50" customFormat="false" ht="15" hidden="false" customHeight="false" outlineLevel="0" collapsed="false">
      <c r="A50" s="43" t="n">
        <v>45292</v>
      </c>
      <c r="B50" s="44" t="s">
        <v>54</v>
      </c>
      <c r="C50" s="44" t="s">
        <v>105</v>
      </c>
      <c r="D50" s="44" t="s">
        <v>55</v>
      </c>
      <c r="E50" s="44" t="s">
        <v>70</v>
      </c>
      <c r="F50" s="45" t="n">
        <v>451</v>
      </c>
      <c r="G50" s="45" t="n">
        <v>372</v>
      </c>
      <c r="H50" s="46" t="n">
        <v>24.39</v>
      </c>
      <c r="I50" s="47" t="str">
        <f aca="false">IF(F50&lt;=G50,"REORDER NOW",IF(F50&lt;=G50*(1+Settings!$B$5),"LOW STOCK","IN STOCK"))</f>
        <v>LOW STOCK</v>
      </c>
      <c r="J50" s="48" t="str">
        <f aca="false">IFERROR(INDEX(Suppliers!$B$5:$B$9,MATCH(D50,Suppliers!$C$5:$C$9,0)),"Unassigned")</f>
        <v>HomeCraft Suppliers</v>
      </c>
      <c r="K50" s="49" t="n">
        <f aca="false">IFERROR(INDEX(Suppliers!$D$5:$D$9,MATCH(D50,Suppliers!$C$5:$C$9,0)),0)</f>
        <v>12</v>
      </c>
      <c r="L50" s="50" t="n">
        <v>26</v>
      </c>
      <c r="M50" s="51" t="n">
        <f aca="false">IF(L50&gt;0,ROUND(F50/L50,1),"")</f>
        <v>17.3</v>
      </c>
      <c r="N50" s="52" t="str">
        <f aca="false">IF(I50="IN STOCK","-",IF(AND(M50&lt;&gt;"",M50&lt;K50),"CRITICAL",IF(I50="REORDER NOW","HIGH","MEDIUM")))</f>
        <v>MEDIUM</v>
      </c>
      <c r="O50" s="49" t="n">
        <f aca="false">IF(I50="IN STOCK",0,MAX(0,ROUNDUP(G50*Settings!$B$6,0)-F50))</f>
        <v>665</v>
      </c>
      <c r="P50" s="53" t="n">
        <f aca="false">F50*H50</f>
        <v>10999.89</v>
      </c>
      <c r="Q50" s="53" t="n">
        <f aca="false">O50*H50</f>
        <v>16219.35</v>
      </c>
      <c r="R50" s="54" t="n">
        <f aca="false">IF(I50="IN STOCK","",Settings!$B$7+K50)</f>
        <v>45304</v>
      </c>
      <c r="S50" s="48" t="str">
        <f aca="false">IF(N50="CRITICAL","Order immediately - stock-out before delivery",IF(N50="HIGH","Raise purchase order today",IF(N50="MEDIUM","Plan reorder this week","No action required")))</f>
        <v>Plan reorder this week</v>
      </c>
      <c r="T50" s="55" t="n">
        <f aca="false">IF(I50="IN STOCK",0,IF(N50="CRITICAL",30,IF(N50="HIGH",20,10))+IF(G50&gt;0,(G50-F50)/G50,0)+ROW()/10000000)</f>
        <v>9.78763940860215</v>
      </c>
      <c r="U50" s="56" t="n">
        <f aca="false">IF(T50&gt;0,SUMPRODUCT(--($T$5:$T$104&gt;T50))+1,"")</f>
        <v>19</v>
      </c>
    </row>
    <row r="51" customFormat="false" ht="15" hidden="false" customHeight="false" outlineLevel="0" collapsed="false">
      <c r="A51" s="43" t="n">
        <v>45292</v>
      </c>
      <c r="B51" s="44" t="s">
        <v>54</v>
      </c>
      <c r="C51" s="44" t="s">
        <v>106</v>
      </c>
      <c r="D51" s="44" t="s">
        <v>53</v>
      </c>
      <c r="E51" s="44" t="s">
        <v>70</v>
      </c>
      <c r="F51" s="45" t="n">
        <v>108</v>
      </c>
      <c r="G51" s="45" t="n">
        <v>109</v>
      </c>
      <c r="H51" s="46" t="n">
        <v>54.87</v>
      </c>
      <c r="I51" s="47" t="str">
        <f aca="false">IF(F51&lt;=G51,"REORDER NOW",IF(F51&lt;=G51*(1+Settings!$B$5),"LOW STOCK","IN STOCK"))</f>
        <v>REORDER NOW</v>
      </c>
      <c r="J51" s="48" t="str">
        <f aca="false">IFERROR(INDEX(Suppliers!$B$5:$B$9,MATCH(D51,Suppliers!$C$5:$C$9,0)),"Unassigned")</f>
        <v>TechSource India</v>
      </c>
      <c r="K51" s="49" t="n">
        <f aca="false">IFERROR(INDEX(Suppliers!$D$5:$D$9,MATCH(D51,Suppliers!$C$5:$C$9,0)),0)</f>
        <v>7</v>
      </c>
      <c r="L51" s="50" t="n">
        <v>11.8</v>
      </c>
      <c r="M51" s="51" t="n">
        <f aca="false">IF(L51&gt;0,ROUND(F51/L51,1),"")</f>
        <v>9.2</v>
      </c>
      <c r="N51" s="52" t="str">
        <f aca="false">IF(I51="IN STOCK","-",IF(AND(M51&lt;&gt;"",M51&lt;K51),"CRITICAL",IF(I51="REORDER NOW","HIGH","MEDIUM")))</f>
        <v>HIGH</v>
      </c>
      <c r="O51" s="49" t="n">
        <f aca="false">IF(I51="IN STOCK",0,MAX(0,ROUNDUP(G51*Settings!$B$6,0)-F51))</f>
        <v>219</v>
      </c>
      <c r="P51" s="53" t="n">
        <f aca="false">F51*H51</f>
        <v>5925.96</v>
      </c>
      <c r="Q51" s="53" t="n">
        <f aca="false">O51*H51</f>
        <v>12016.53</v>
      </c>
      <c r="R51" s="54" t="n">
        <f aca="false">IF(I51="IN STOCK","",Settings!$B$7+K51)</f>
        <v>45299</v>
      </c>
      <c r="S51" s="48" t="str">
        <f aca="false">IF(N51="CRITICAL","Order immediately - stock-out before delivery",IF(N51="HIGH","Raise purchase order today",IF(N51="MEDIUM","Plan reorder this week","No action required")))</f>
        <v>Raise purchase order today</v>
      </c>
      <c r="T51" s="55" t="n">
        <f aca="false">IF(I51="IN STOCK",0,IF(N51="CRITICAL",30,IF(N51="HIGH",20,10))+IF(G51&gt;0,(G51-F51)/G51,0)+ROW()/10000000)</f>
        <v>20.0091794119266</v>
      </c>
      <c r="U51" s="56" t="n">
        <f aca="false">IF(T51&gt;0,SUMPRODUCT(--($T$5:$T$104&gt;T51))+1,"")</f>
        <v>7</v>
      </c>
    </row>
    <row r="52" customFormat="false" ht="15" hidden="false" customHeight="false" outlineLevel="0" collapsed="false">
      <c r="A52" s="43" t="n">
        <v>45292</v>
      </c>
      <c r="B52" s="44" t="s">
        <v>54</v>
      </c>
      <c r="C52" s="44" t="s">
        <v>107</v>
      </c>
      <c r="D52" s="44" t="s">
        <v>55</v>
      </c>
      <c r="E52" s="44" t="s">
        <v>70</v>
      </c>
      <c r="F52" s="45" t="n">
        <v>103</v>
      </c>
      <c r="G52" s="45" t="n">
        <v>83</v>
      </c>
      <c r="H52" s="46" t="n">
        <v>56.59</v>
      </c>
      <c r="I52" s="47" t="str">
        <f aca="false">IF(F52&lt;=G52,"REORDER NOW",IF(F52&lt;=G52*(1+Settings!$B$5),"LOW STOCK","IN STOCK"))</f>
        <v>LOW STOCK</v>
      </c>
      <c r="J52" s="48" t="str">
        <f aca="false">IFERROR(INDEX(Suppliers!$B$5:$B$9,MATCH(D52,Suppliers!$C$5:$C$9,0)),"Unassigned")</f>
        <v>HomeCraft Suppliers</v>
      </c>
      <c r="K52" s="49" t="n">
        <f aca="false">IFERROR(INDEX(Suppliers!$D$5:$D$9,MATCH(D52,Suppliers!$C$5:$C$9,0)),0)</f>
        <v>12</v>
      </c>
      <c r="L52" s="50" t="n">
        <v>6</v>
      </c>
      <c r="M52" s="51" t="n">
        <f aca="false">IF(L52&gt;0,ROUND(F52/L52,1),"")</f>
        <v>17.2</v>
      </c>
      <c r="N52" s="52" t="str">
        <f aca="false">IF(I52="IN STOCK","-",IF(AND(M52&lt;&gt;"",M52&lt;K52),"CRITICAL",IF(I52="REORDER NOW","HIGH","MEDIUM")))</f>
        <v>MEDIUM</v>
      </c>
      <c r="O52" s="49" t="n">
        <f aca="false">IF(I52="IN STOCK",0,MAX(0,ROUNDUP(G52*Settings!$B$6,0)-F52))</f>
        <v>146</v>
      </c>
      <c r="P52" s="53" t="n">
        <f aca="false">F52*H52</f>
        <v>5828.77</v>
      </c>
      <c r="Q52" s="53" t="n">
        <f aca="false">O52*H52</f>
        <v>8262.14</v>
      </c>
      <c r="R52" s="54" t="n">
        <f aca="false">IF(I52="IN STOCK","",Settings!$B$7+K52)</f>
        <v>45304</v>
      </c>
      <c r="S52" s="48" t="str">
        <f aca="false">IF(N52="CRITICAL","Order immediately - stock-out before delivery",IF(N52="HIGH","Raise purchase order today",IF(N52="MEDIUM","Plan reorder this week","No action required")))</f>
        <v>Plan reorder this week</v>
      </c>
      <c r="T52" s="55" t="n">
        <f aca="false">IF(I52="IN STOCK",0,IF(N52="CRITICAL",30,IF(N52="HIGH",20,10))+IF(G52&gt;0,(G52-F52)/G52,0)+ROW()/10000000)</f>
        <v>9.75904134457831</v>
      </c>
      <c r="U52" s="56" t="n">
        <f aca="false">IF(T52&gt;0,SUMPRODUCT(--($T$5:$T$104&gt;T52))+1,"")</f>
        <v>20</v>
      </c>
    </row>
    <row r="53" customFormat="false" ht="15" hidden="false" customHeight="false" outlineLevel="0" collapsed="false">
      <c r="A53" s="43" t="n">
        <v>45292</v>
      </c>
      <c r="B53" s="44" t="s">
        <v>54</v>
      </c>
      <c r="C53" s="44" t="s">
        <v>108</v>
      </c>
      <c r="D53" s="44" t="s">
        <v>55</v>
      </c>
      <c r="E53" s="44" t="s">
        <v>72</v>
      </c>
      <c r="F53" s="45" t="n">
        <v>496</v>
      </c>
      <c r="G53" s="45" t="n">
        <v>13</v>
      </c>
      <c r="H53" s="46" t="n">
        <v>54.64</v>
      </c>
      <c r="I53" s="47" t="str">
        <f aca="false">IF(F53&lt;=G53,"REORDER NOW",IF(F53&lt;=G53*(1+Settings!$B$5),"LOW STOCK","IN STOCK"))</f>
        <v>IN STOCK</v>
      </c>
      <c r="J53" s="48" t="str">
        <f aca="false">IFERROR(INDEX(Suppliers!$B$5:$B$9,MATCH(D53,Suppliers!$C$5:$C$9,0)),"Unassigned")</f>
        <v>HomeCraft Suppliers</v>
      </c>
      <c r="K53" s="49" t="n">
        <f aca="false">IFERROR(INDEX(Suppliers!$D$5:$D$9,MATCH(D53,Suppliers!$C$5:$C$9,0)),0)</f>
        <v>12</v>
      </c>
      <c r="L53" s="50" t="n">
        <v>1.2</v>
      </c>
      <c r="M53" s="51" t="n">
        <f aca="false">IF(L53&gt;0,ROUND(F53/L53,1),"")</f>
        <v>413.3</v>
      </c>
      <c r="N53" s="52" t="str">
        <f aca="false">IF(I53="IN STOCK","-",IF(AND(M53&lt;&gt;"",M53&lt;K53),"CRITICAL",IF(I53="REORDER NOW","HIGH","MEDIUM")))</f>
        <v>-</v>
      </c>
      <c r="O53" s="49" t="n">
        <f aca="false">IF(I53="IN STOCK",0,MAX(0,ROUNDUP(G53*Settings!$B$6,0)-F53))</f>
        <v>0</v>
      </c>
      <c r="P53" s="53" t="n">
        <f aca="false">F53*H53</f>
        <v>27101.44</v>
      </c>
      <c r="Q53" s="53" t="n">
        <f aca="false">O53*H53</f>
        <v>0</v>
      </c>
      <c r="R53" s="54" t="str">
        <f aca="false">IF(I53="IN STOCK","",Settings!$B$7+K53)</f>
        <v/>
      </c>
      <c r="S53" s="48" t="str">
        <f aca="false">IF(N53="CRITICAL","Order immediately - stock-out before delivery",IF(N53="HIGH","Raise purchase order today",IF(N53="MEDIUM","Plan reorder this week","No action required")))</f>
        <v>No action required</v>
      </c>
      <c r="T53" s="55" t="n">
        <f aca="false">IF(I53="IN STOCK",0,IF(N53="CRITICAL",30,IF(N53="HIGH",20,10))+IF(G53&gt;0,(G53-F53)/G53,0)+ROW()/10000000)</f>
        <v>0</v>
      </c>
      <c r="U53" s="56" t="str">
        <f aca="false">IF(T53&gt;0,SUMPRODUCT(--($T$5:$T$104&gt;T53))+1,"")</f>
        <v/>
      </c>
    </row>
    <row r="54" customFormat="false" ht="15" hidden="false" customHeight="false" outlineLevel="0" collapsed="false">
      <c r="A54" s="43" t="n">
        <v>45292</v>
      </c>
      <c r="B54" s="44" t="s">
        <v>54</v>
      </c>
      <c r="C54" s="44" t="s">
        <v>109</v>
      </c>
      <c r="D54" s="44" t="s">
        <v>55</v>
      </c>
      <c r="E54" s="44" t="s">
        <v>68</v>
      </c>
      <c r="F54" s="45" t="n">
        <v>413</v>
      </c>
      <c r="G54" s="45" t="n">
        <v>409</v>
      </c>
      <c r="H54" s="46" t="n">
        <v>80.87</v>
      </c>
      <c r="I54" s="47" t="str">
        <f aca="false">IF(F54&lt;=G54,"REORDER NOW",IF(F54&lt;=G54*(1+Settings!$B$5),"LOW STOCK","IN STOCK"))</f>
        <v>LOW STOCK</v>
      </c>
      <c r="J54" s="48" t="str">
        <f aca="false">IFERROR(INDEX(Suppliers!$B$5:$B$9,MATCH(D54,Suppliers!$C$5:$C$9,0)),"Unassigned")</f>
        <v>HomeCraft Suppliers</v>
      </c>
      <c r="K54" s="49" t="n">
        <f aca="false">IFERROR(INDEX(Suppliers!$D$5:$D$9,MATCH(D54,Suppliers!$C$5:$C$9,0)),0)</f>
        <v>12</v>
      </c>
      <c r="L54" s="50" t="n">
        <v>31.3</v>
      </c>
      <c r="M54" s="51" t="n">
        <f aca="false">IF(L54&gt;0,ROUND(F54/L54,1),"")</f>
        <v>13.2</v>
      </c>
      <c r="N54" s="52" t="str">
        <f aca="false">IF(I54="IN STOCK","-",IF(AND(M54&lt;&gt;"",M54&lt;K54),"CRITICAL",IF(I54="REORDER NOW","HIGH","MEDIUM")))</f>
        <v>MEDIUM</v>
      </c>
      <c r="O54" s="49" t="n">
        <f aca="false">IF(I54="IN STOCK",0,MAX(0,ROUNDUP(G54*Settings!$B$6,0)-F54))</f>
        <v>814</v>
      </c>
      <c r="P54" s="53" t="n">
        <f aca="false">F54*H54</f>
        <v>33399.31</v>
      </c>
      <c r="Q54" s="53" t="n">
        <f aca="false">O54*H54</f>
        <v>65828.18</v>
      </c>
      <c r="R54" s="54" t="n">
        <f aca="false">IF(I54="IN STOCK","",Settings!$B$7+K54)</f>
        <v>45304</v>
      </c>
      <c r="S54" s="48" t="str">
        <f aca="false">IF(N54="CRITICAL","Order immediately - stock-out before delivery",IF(N54="HIGH","Raise purchase order today",IF(N54="MEDIUM","Plan reorder this week","No action required")))</f>
        <v>Plan reorder this week</v>
      </c>
      <c r="T54" s="55" t="n">
        <f aca="false">IF(I54="IN STOCK",0,IF(N54="CRITICAL",30,IF(N54="HIGH",20,10))+IF(G54&gt;0,(G54-F54)/G54,0)+ROW()/10000000)</f>
        <v>9.99022544889976</v>
      </c>
      <c r="U54" s="56" t="n">
        <f aca="false">IF(T54&gt;0,SUMPRODUCT(--($T$5:$T$104&gt;T54))+1,"")</f>
        <v>9</v>
      </c>
    </row>
    <row r="55" customFormat="false" ht="15" hidden="false" customHeight="false" outlineLevel="0" collapsed="false">
      <c r="A55" s="43" t="n">
        <v>45292</v>
      </c>
      <c r="B55" s="44" t="s">
        <v>54</v>
      </c>
      <c r="C55" s="44" t="s">
        <v>110</v>
      </c>
      <c r="D55" s="44" t="s">
        <v>59</v>
      </c>
      <c r="E55" s="44" t="s">
        <v>74</v>
      </c>
      <c r="F55" s="45" t="n">
        <v>137</v>
      </c>
      <c r="G55" s="45" t="n">
        <v>98</v>
      </c>
      <c r="H55" s="46" t="n">
        <v>38.43</v>
      </c>
      <c r="I55" s="47" t="str">
        <f aca="false">IF(F55&lt;=G55,"REORDER NOW",IF(F55&lt;=G55*(1+Settings!$B$5),"LOW STOCK","IN STOCK"))</f>
        <v>IN STOCK</v>
      </c>
      <c r="J55" s="48" t="str">
        <f aca="false">IFERROR(INDEX(Suppliers!$B$5:$B$9,MATCH(D55,Suppliers!$C$5:$C$9,0)),"Unassigned")</f>
        <v>PlayWorld Distributors</v>
      </c>
      <c r="K55" s="49" t="n">
        <f aca="false">IFERROR(INDEX(Suppliers!$D$5:$D$9,MATCH(D55,Suppliers!$C$5:$C$9,0)),0)</f>
        <v>5</v>
      </c>
      <c r="L55" s="50" t="n">
        <v>18.1</v>
      </c>
      <c r="M55" s="51" t="n">
        <f aca="false">IF(L55&gt;0,ROUND(F55/L55,1),"")</f>
        <v>7.6</v>
      </c>
      <c r="N55" s="52" t="str">
        <f aca="false">IF(I55="IN STOCK","-",IF(AND(M55&lt;&gt;"",M55&lt;K55),"CRITICAL",IF(I55="REORDER NOW","HIGH","MEDIUM")))</f>
        <v>-</v>
      </c>
      <c r="O55" s="49" t="n">
        <f aca="false">IF(I55="IN STOCK",0,MAX(0,ROUNDUP(G55*Settings!$B$6,0)-F55))</f>
        <v>0</v>
      </c>
      <c r="P55" s="53" t="n">
        <f aca="false">F55*H55</f>
        <v>5264.91</v>
      </c>
      <c r="Q55" s="53" t="n">
        <f aca="false">O55*H55</f>
        <v>0</v>
      </c>
      <c r="R55" s="54" t="str">
        <f aca="false">IF(I55="IN STOCK","",Settings!$B$7+K55)</f>
        <v/>
      </c>
      <c r="S55" s="48" t="str">
        <f aca="false">IF(N55="CRITICAL","Order immediately - stock-out before delivery",IF(N55="HIGH","Raise purchase order today",IF(N55="MEDIUM","Plan reorder this week","No action required")))</f>
        <v>No action required</v>
      </c>
      <c r="T55" s="55" t="n">
        <f aca="false">IF(I55="IN STOCK",0,IF(N55="CRITICAL",30,IF(N55="HIGH",20,10))+IF(G55&gt;0,(G55-F55)/G55,0)+ROW()/10000000)</f>
        <v>0</v>
      </c>
      <c r="U55" s="56" t="str">
        <f aca="false">IF(T55&gt;0,SUMPRODUCT(--($T$5:$T$104&gt;T55))+1,"")</f>
        <v/>
      </c>
    </row>
    <row r="56" customFormat="false" ht="15" hidden="false" customHeight="false" outlineLevel="0" collapsed="false">
      <c r="A56" s="43" t="n">
        <v>45292</v>
      </c>
      <c r="B56" s="44" t="s">
        <v>54</v>
      </c>
      <c r="C56" s="44" t="s">
        <v>111</v>
      </c>
      <c r="D56" s="44" t="s">
        <v>51</v>
      </c>
      <c r="E56" s="44" t="s">
        <v>70</v>
      </c>
      <c r="F56" s="45" t="n">
        <v>108</v>
      </c>
      <c r="G56" s="45" t="n">
        <v>101</v>
      </c>
      <c r="H56" s="46" t="n">
        <v>84.56</v>
      </c>
      <c r="I56" s="47" t="str">
        <f aca="false">IF(F56&lt;=G56,"REORDER NOW",IF(F56&lt;=G56*(1+Settings!$B$5),"LOW STOCK","IN STOCK"))</f>
        <v>LOW STOCK</v>
      </c>
      <c r="J56" s="48" t="str">
        <f aca="false">IFERROR(INDEX(Suppliers!$B$5:$B$9,MATCH(D56,Suppliers!$C$5:$C$9,0)),"Unassigned")</f>
        <v>StyleHub Wholesale</v>
      </c>
      <c r="K56" s="49" t="n">
        <f aca="false">IFERROR(INDEX(Suppliers!$D$5:$D$9,MATCH(D56,Suppliers!$C$5:$C$9,0)),0)</f>
        <v>6</v>
      </c>
      <c r="L56" s="50" t="n">
        <v>13.9</v>
      </c>
      <c r="M56" s="51" t="n">
        <f aca="false">IF(L56&gt;0,ROUND(F56/L56,1),"")</f>
        <v>7.8</v>
      </c>
      <c r="N56" s="52" t="str">
        <f aca="false">IF(I56="IN STOCK","-",IF(AND(M56&lt;&gt;"",M56&lt;K56),"CRITICAL",IF(I56="REORDER NOW","HIGH","MEDIUM")))</f>
        <v>MEDIUM</v>
      </c>
      <c r="O56" s="49" t="n">
        <f aca="false">IF(I56="IN STOCK",0,MAX(0,ROUNDUP(G56*Settings!$B$6,0)-F56))</f>
        <v>195</v>
      </c>
      <c r="P56" s="53" t="n">
        <f aca="false">F56*H56</f>
        <v>9132.48</v>
      </c>
      <c r="Q56" s="53" t="n">
        <f aca="false">O56*H56</f>
        <v>16489.2</v>
      </c>
      <c r="R56" s="54" t="n">
        <f aca="false">IF(I56="IN STOCK","",Settings!$B$7+K56)</f>
        <v>45298</v>
      </c>
      <c r="S56" s="48" t="str">
        <f aca="false">IF(N56="CRITICAL","Order immediately - stock-out before delivery",IF(N56="HIGH","Raise purchase order today",IF(N56="MEDIUM","Plan reorder this week","No action required")))</f>
        <v>Plan reorder this week</v>
      </c>
      <c r="T56" s="55" t="n">
        <f aca="false">IF(I56="IN STOCK",0,IF(N56="CRITICAL",30,IF(N56="HIGH",20,10))+IF(G56&gt;0,(G56-F56)/G56,0)+ROW()/10000000)</f>
        <v>9.93069866930693</v>
      </c>
      <c r="U56" s="56" t="n">
        <f aca="false">IF(T56&gt;0,SUMPRODUCT(--($T$5:$T$104&gt;T56))+1,"")</f>
        <v>12</v>
      </c>
    </row>
    <row r="57" customFormat="false" ht="15" hidden="false" customHeight="false" outlineLevel="0" collapsed="false">
      <c r="A57" s="43" t="n">
        <v>45292</v>
      </c>
      <c r="B57" s="44" t="s">
        <v>54</v>
      </c>
      <c r="C57" s="44" t="s">
        <v>112</v>
      </c>
      <c r="D57" s="44" t="s">
        <v>57</v>
      </c>
      <c r="E57" s="44" t="s">
        <v>74</v>
      </c>
      <c r="F57" s="45" t="n">
        <v>388</v>
      </c>
      <c r="G57" s="45" t="n">
        <v>131</v>
      </c>
      <c r="H57" s="46" t="n">
        <v>13.45</v>
      </c>
      <c r="I57" s="47" t="str">
        <f aca="false">IF(F57&lt;=G57,"REORDER NOW",IF(F57&lt;=G57*(1+Settings!$B$5),"LOW STOCK","IN STOCK"))</f>
        <v>IN STOCK</v>
      </c>
      <c r="J57" s="48" t="str">
        <f aca="false">IFERROR(INDEX(Suppliers!$B$5:$B$9,MATCH(D57,Suppliers!$C$5:$C$9,0)),"Unassigned")</f>
        <v>FreshLink Traders</v>
      </c>
      <c r="K57" s="49" t="n">
        <f aca="false">IFERROR(INDEX(Suppliers!$D$5:$D$9,MATCH(D57,Suppliers!$C$5:$C$9,0)),0)</f>
        <v>2</v>
      </c>
      <c r="L57" s="50" t="n">
        <v>56.3</v>
      </c>
      <c r="M57" s="51" t="n">
        <f aca="false">IF(L57&gt;0,ROUND(F57/L57,1),"")</f>
        <v>6.9</v>
      </c>
      <c r="N57" s="52" t="str">
        <f aca="false">IF(I57="IN STOCK","-",IF(AND(M57&lt;&gt;"",M57&lt;K57),"CRITICAL",IF(I57="REORDER NOW","HIGH","MEDIUM")))</f>
        <v>-</v>
      </c>
      <c r="O57" s="49" t="n">
        <f aca="false">IF(I57="IN STOCK",0,MAX(0,ROUNDUP(G57*Settings!$B$6,0)-F57))</f>
        <v>0</v>
      </c>
      <c r="P57" s="53" t="n">
        <f aca="false">F57*H57</f>
        <v>5218.6</v>
      </c>
      <c r="Q57" s="53" t="n">
        <f aca="false">O57*H57</f>
        <v>0</v>
      </c>
      <c r="R57" s="54" t="str">
        <f aca="false">IF(I57="IN STOCK","",Settings!$B$7+K57)</f>
        <v/>
      </c>
      <c r="S57" s="48" t="str">
        <f aca="false">IF(N57="CRITICAL","Order immediately - stock-out before delivery",IF(N57="HIGH","Raise purchase order today",IF(N57="MEDIUM","Plan reorder this week","No action required")))</f>
        <v>No action required</v>
      </c>
      <c r="T57" s="55" t="n">
        <f aca="false">IF(I57="IN STOCK",0,IF(N57="CRITICAL",30,IF(N57="HIGH",20,10))+IF(G57&gt;0,(G57-F57)/G57,0)+ROW()/10000000)</f>
        <v>0</v>
      </c>
      <c r="U57" s="56" t="str">
        <f aca="false">IF(T57&gt;0,SUMPRODUCT(--($T$5:$T$104&gt;T57))+1,"")</f>
        <v/>
      </c>
    </row>
    <row r="58" customFormat="false" ht="15" hidden="false" customHeight="false" outlineLevel="0" collapsed="false">
      <c r="A58" s="43" t="n">
        <v>45292</v>
      </c>
      <c r="B58" s="44" t="s">
        <v>54</v>
      </c>
      <c r="C58" s="44" t="s">
        <v>113</v>
      </c>
      <c r="D58" s="44" t="s">
        <v>53</v>
      </c>
      <c r="E58" s="44" t="s">
        <v>74</v>
      </c>
      <c r="F58" s="45" t="n">
        <v>230</v>
      </c>
      <c r="G58" s="45" t="n">
        <v>85</v>
      </c>
      <c r="H58" s="46" t="n">
        <v>73.4</v>
      </c>
      <c r="I58" s="47" t="str">
        <f aca="false">IF(F58&lt;=G58,"REORDER NOW",IF(F58&lt;=G58*(1+Settings!$B$5),"LOW STOCK","IN STOCK"))</f>
        <v>IN STOCK</v>
      </c>
      <c r="J58" s="48" t="str">
        <f aca="false">IFERROR(INDEX(Suppliers!$B$5:$B$9,MATCH(D58,Suppliers!$C$5:$C$9,0)),"Unassigned")</f>
        <v>TechSource India</v>
      </c>
      <c r="K58" s="49" t="n">
        <f aca="false">IFERROR(INDEX(Suppliers!$D$5:$D$9,MATCH(D58,Suppliers!$C$5:$C$9,0)),0)</f>
        <v>7</v>
      </c>
      <c r="L58" s="50" t="n">
        <v>15.3</v>
      </c>
      <c r="M58" s="51" t="n">
        <f aca="false">IF(L58&gt;0,ROUND(F58/L58,1),"")</f>
        <v>15</v>
      </c>
      <c r="N58" s="52" t="str">
        <f aca="false">IF(I58="IN STOCK","-",IF(AND(M58&lt;&gt;"",M58&lt;K58),"CRITICAL",IF(I58="REORDER NOW","HIGH","MEDIUM")))</f>
        <v>-</v>
      </c>
      <c r="O58" s="49" t="n">
        <f aca="false">IF(I58="IN STOCK",0,MAX(0,ROUNDUP(G58*Settings!$B$6,0)-F58))</f>
        <v>0</v>
      </c>
      <c r="P58" s="53" t="n">
        <f aca="false">F58*H58</f>
        <v>16882</v>
      </c>
      <c r="Q58" s="53" t="n">
        <f aca="false">O58*H58</f>
        <v>0</v>
      </c>
      <c r="R58" s="54" t="str">
        <f aca="false">IF(I58="IN STOCK","",Settings!$B$7+K58)</f>
        <v/>
      </c>
      <c r="S58" s="48" t="str">
        <f aca="false">IF(N58="CRITICAL","Order immediately - stock-out before delivery",IF(N58="HIGH","Raise purchase order today",IF(N58="MEDIUM","Plan reorder this week","No action required")))</f>
        <v>No action required</v>
      </c>
      <c r="T58" s="55" t="n">
        <f aca="false">IF(I58="IN STOCK",0,IF(N58="CRITICAL",30,IF(N58="HIGH",20,10))+IF(G58&gt;0,(G58-F58)/G58,0)+ROW()/10000000)</f>
        <v>0</v>
      </c>
      <c r="U58" s="56" t="str">
        <f aca="false">IF(T58&gt;0,SUMPRODUCT(--($T$5:$T$104&gt;T58))+1,"")</f>
        <v/>
      </c>
    </row>
    <row r="59" customFormat="false" ht="15" hidden="false" customHeight="false" outlineLevel="0" collapsed="false">
      <c r="A59" s="43" t="n">
        <v>45292</v>
      </c>
      <c r="B59" s="44" t="s">
        <v>54</v>
      </c>
      <c r="C59" s="44" t="s">
        <v>114</v>
      </c>
      <c r="D59" s="44" t="s">
        <v>51</v>
      </c>
      <c r="E59" s="44" t="s">
        <v>68</v>
      </c>
      <c r="F59" s="45" t="n">
        <v>270</v>
      </c>
      <c r="G59" s="45" t="n">
        <v>179</v>
      </c>
      <c r="H59" s="46" t="n">
        <v>59.8</v>
      </c>
      <c r="I59" s="47" t="str">
        <f aca="false">IF(F59&lt;=G59,"REORDER NOW",IF(F59&lt;=G59*(1+Settings!$B$5),"LOW STOCK","IN STOCK"))</f>
        <v>IN STOCK</v>
      </c>
      <c r="J59" s="48" t="str">
        <f aca="false">IFERROR(INDEX(Suppliers!$B$5:$B$9,MATCH(D59,Suppliers!$C$5:$C$9,0)),"Unassigned")</f>
        <v>StyleHub Wholesale</v>
      </c>
      <c r="K59" s="49" t="n">
        <f aca="false">IFERROR(INDEX(Suppliers!$D$5:$D$9,MATCH(D59,Suppliers!$C$5:$C$9,0)),0)</f>
        <v>6</v>
      </c>
      <c r="L59" s="50" t="n">
        <v>32.5</v>
      </c>
      <c r="M59" s="51" t="n">
        <f aca="false">IF(L59&gt;0,ROUND(F59/L59,1),"")</f>
        <v>8.3</v>
      </c>
      <c r="N59" s="52" t="str">
        <f aca="false">IF(I59="IN STOCK","-",IF(AND(M59&lt;&gt;"",M59&lt;K59),"CRITICAL",IF(I59="REORDER NOW","HIGH","MEDIUM")))</f>
        <v>-</v>
      </c>
      <c r="O59" s="49" t="n">
        <f aca="false">IF(I59="IN STOCK",0,MAX(0,ROUNDUP(G59*Settings!$B$6,0)-F59))</f>
        <v>0</v>
      </c>
      <c r="P59" s="53" t="n">
        <f aca="false">F59*H59</f>
        <v>16146</v>
      </c>
      <c r="Q59" s="53" t="n">
        <f aca="false">O59*H59</f>
        <v>0</v>
      </c>
      <c r="R59" s="54" t="str">
        <f aca="false">IF(I59="IN STOCK","",Settings!$B$7+K59)</f>
        <v/>
      </c>
      <c r="S59" s="48" t="str">
        <f aca="false">IF(N59="CRITICAL","Order immediately - stock-out before delivery",IF(N59="HIGH","Raise purchase order today",IF(N59="MEDIUM","Plan reorder this week","No action required")))</f>
        <v>No action required</v>
      </c>
      <c r="T59" s="55" t="n">
        <f aca="false">IF(I59="IN STOCK",0,IF(N59="CRITICAL",30,IF(N59="HIGH",20,10))+IF(G59&gt;0,(G59-F59)/G59,0)+ROW()/10000000)</f>
        <v>0</v>
      </c>
      <c r="U59" s="56" t="str">
        <f aca="false">IF(T59&gt;0,SUMPRODUCT(--($T$5:$T$104&gt;T59))+1,"")</f>
        <v/>
      </c>
    </row>
    <row r="60" customFormat="false" ht="15" hidden="false" customHeight="false" outlineLevel="0" collapsed="false">
      <c r="A60" s="43" t="n">
        <v>45292</v>
      </c>
      <c r="B60" s="44" t="s">
        <v>54</v>
      </c>
      <c r="C60" s="44" t="s">
        <v>115</v>
      </c>
      <c r="D60" s="44" t="s">
        <v>55</v>
      </c>
      <c r="E60" s="44" t="s">
        <v>68</v>
      </c>
      <c r="F60" s="45" t="n">
        <v>166</v>
      </c>
      <c r="G60" s="45" t="n">
        <v>144</v>
      </c>
      <c r="H60" s="46" t="n">
        <v>55.17</v>
      </c>
      <c r="I60" s="47" t="str">
        <f aca="false">IF(F60&lt;=G60,"REORDER NOW",IF(F60&lt;=G60*(1+Settings!$B$5),"LOW STOCK","IN STOCK"))</f>
        <v>LOW STOCK</v>
      </c>
      <c r="J60" s="48" t="str">
        <f aca="false">IFERROR(INDEX(Suppliers!$B$5:$B$9,MATCH(D60,Suppliers!$C$5:$C$9,0)),"Unassigned")</f>
        <v>HomeCraft Suppliers</v>
      </c>
      <c r="K60" s="49" t="n">
        <f aca="false">IFERROR(INDEX(Suppliers!$D$5:$D$9,MATCH(D60,Suppliers!$C$5:$C$9,0)),0)</f>
        <v>12</v>
      </c>
      <c r="L60" s="50" t="n">
        <v>12.8</v>
      </c>
      <c r="M60" s="51" t="n">
        <f aca="false">IF(L60&gt;0,ROUND(F60/L60,1),"")</f>
        <v>13</v>
      </c>
      <c r="N60" s="52" t="str">
        <f aca="false">IF(I60="IN STOCK","-",IF(AND(M60&lt;&gt;"",M60&lt;K60),"CRITICAL",IF(I60="REORDER NOW","HIGH","MEDIUM")))</f>
        <v>MEDIUM</v>
      </c>
      <c r="O60" s="49" t="n">
        <f aca="false">IF(I60="IN STOCK",0,MAX(0,ROUNDUP(G60*Settings!$B$6,0)-F60))</f>
        <v>266</v>
      </c>
      <c r="P60" s="53" t="n">
        <f aca="false">F60*H60</f>
        <v>9158.22</v>
      </c>
      <c r="Q60" s="53" t="n">
        <f aca="false">O60*H60</f>
        <v>14675.22</v>
      </c>
      <c r="R60" s="54" t="n">
        <f aca="false">IF(I60="IN STOCK","",Settings!$B$7+K60)</f>
        <v>45304</v>
      </c>
      <c r="S60" s="48" t="str">
        <f aca="false">IF(N60="CRITICAL","Order immediately - stock-out before delivery",IF(N60="HIGH","Raise purchase order today",IF(N60="MEDIUM","Plan reorder this week","No action required")))</f>
        <v>Plan reorder this week</v>
      </c>
      <c r="T60" s="55" t="n">
        <f aca="false">IF(I60="IN STOCK",0,IF(N60="CRITICAL",30,IF(N60="HIGH",20,10))+IF(G60&gt;0,(G60-F60)/G60,0)+ROW()/10000000)</f>
        <v>9.84722822222222</v>
      </c>
      <c r="U60" s="56" t="n">
        <f aca="false">IF(T60&gt;0,SUMPRODUCT(--($T$5:$T$104&gt;T60))+1,"")</f>
        <v>15</v>
      </c>
    </row>
    <row r="61" customFormat="false" ht="15" hidden="false" customHeight="false" outlineLevel="0" collapsed="false">
      <c r="A61" s="43" t="n">
        <v>45292</v>
      </c>
      <c r="B61" s="44" t="s">
        <v>54</v>
      </c>
      <c r="C61" s="44" t="s">
        <v>116</v>
      </c>
      <c r="D61" s="44" t="s">
        <v>51</v>
      </c>
      <c r="E61" s="44" t="s">
        <v>70</v>
      </c>
      <c r="F61" s="45" t="n">
        <v>239</v>
      </c>
      <c r="G61" s="45" t="n">
        <v>56</v>
      </c>
      <c r="H61" s="46" t="n">
        <v>67.36</v>
      </c>
      <c r="I61" s="47" t="str">
        <f aca="false">IF(F61&lt;=G61,"REORDER NOW",IF(F61&lt;=G61*(1+Settings!$B$5),"LOW STOCK","IN STOCK"))</f>
        <v>IN STOCK</v>
      </c>
      <c r="J61" s="48" t="str">
        <f aca="false">IFERROR(INDEX(Suppliers!$B$5:$B$9,MATCH(D61,Suppliers!$C$5:$C$9,0)),"Unassigned")</f>
        <v>StyleHub Wholesale</v>
      </c>
      <c r="K61" s="49" t="n">
        <f aca="false">IFERROR(INDEX(Suppliers!$D$5:$D$9,MATCH(D61,Suppliers!$C$5:$C$9,0)),0)</f>
        <v>6</v>
      </c>
      <c r="L61" s="50" t="n">
        <v>7.5</v>
      </c>
      <c r="M61" s="51" t="n">
        <f aca="false">IF(L61&gt;0,ROUND(F61/L61,1),"")</f>
        <v>31.9</v>
      </c>
      <c r="N61" s="52" t="str">
        <f aca="false">IF(I61="IN STOCK","-",IF(AND(M61&lt;&gt;"",M61&lt;K61),"CRITICAL",IF(I61="REORDER NOW","HIGH","MEDIUM")))</f>
        <v>-</v>
      </c>
      <c r="O61" s="49" t="n">
        <f aca="false">IF(I61="IN STOCK",0,MAX(0,ROUNDUP(G61*Settings!$B$6,0)-F61))</f>
        <v>0</v>
      </c>
      <c r="P61" s="53" t="n">
        <f aca="false">F61*H61</f>
        <v>16099.04</v>
      </c>
      <c r="Q61" s="53" t="n">
        <f aca="false">O61*H61</f>
        <v>0</v>
      </c>
      <c r="R61" s="54" t="str">
        <f aca="false">IF(I61="IN STOCK","",Settings!$B$7+K61)</f>
        <v/>
      </c>
      <c r="S61" s="48" t="str">
        <f aca="false">IF(N61="CRITICAL","Order immediately - stock-out before delivery",IF(N61="HIGH","Raise purchase order today",IF(N61="MEDIUM","Plan reorder this week","No action required")))</f>
        <v>No action required</v>
      </c>
      <c r="T61" s="55" t="n">
        <f aca="false">IF(I61="IN STOCK",0,IF(N61="CRITICAL",30,IF(N61="HIGH",20,10))+IF(G61&gt;0,(G61-F61)/G61,0)+ROW()/10000000)</f>
        <v>0</v>
      </c>
      <c r="U61" s="56" t="str">
        <f aca="false">IF(T61&gt;0,SUMPRODUCT(--($T$5:$T$104&gt;T61))+1,"")</f>
        <v/>
      </c>
    </row>
    <row r="62" customFormat="false" ht="15" hidden="false" customHeight="false" outlineLevel="0" collapsed="false">
      <c r="A62" s="43" t="n">
        <v>45292</v>
      </c>
      <c r="B62" s="44" t="s">
        <v>54</v>
      </c>
      <c r="C62" s="44" t="s">
        <v>117</v>
      </c>
      <c r="D62" s="44" t="s">
        <v>53</v>
      </c>
      <c r="E62" s="44" t="s">
        <v>70</v>
      </c>
      <c r="F62" s="45" t="n">
        <v>375</v>
      </c>
      <c r="G62" s="45" t="n">
        <v>212</v>
      </c>
      <c r="H62" s="46" t="n">
        <v>29.45</v>
      </c>
      <c r="I62" s="47" t="str">
        <f aca="false">IF(F62&lt;=G62,"REORDER NOW",IF(F62&lt;=G62*(1+Settings!$B$5),"LOW STOCK","IN STOCK"))</f>
        <v>IN STOCK</v>
      </c>
      <c r="J62" s="48" t="str">
        <f aca="false">IFERROR(INDEX(Suppliers!$B$5:$B$9,MATCH(D62,Suppliers!$C$5:$C$9,0)),"Unassigned")</f>
        <v>TechSource India</v>
      </c>
      <c r="K62" s="49" t="n">
        <f aca="false">IFERROR(INDEX(Suppliers!$D$5:$D$9,MATCH(D62,Suppliers!$C$5:$C$9,0)),0)</f>
        <v>7</v>
      </c>
      <c r="L62" s="50" t="n">
        <v>34.4</v>
      </c>
      <c r="M62" s="51" t="n">
        <f aca="false">IF(L62&gt;0,ROUND(F62/L62,1),"")</f>
        <v>10.9</v>
      </c>
      <c r="N62" s="52" t="str">
        <f aca="false">IF(I62="IN STOCK","-",IF(AND(M62&lt;&gt;"",M62&lt;K62),"CRITICAL",IF(I62="REORDER NOW","HIGH","MEDIUM")))</f>
        <v>-</v>
      </c>
      <c r="O62" s="49" t="n">
        <f aca="false">IF(I62="IN STOCK",0,MAX(0,ROUNDUP(G62*Settings!$B$6,0)-F62))</f>
        <v>0</v>
      </c>
      <c r="P62" s="53" t="n">
        <f aca="false">F62*H62</f>
        <v>11043.75</v>
      </c>
      <c r="Q62" s="53" t="n">
        <f aca="false">O62*H62</f>
        <v>0</v>
      </c>
      <c r="R62" s="54" t="str">
        <f aca="false">IF(I62="IN STOCK","",Settings!$B$7+K62)</f>
        <v/>
      </c>
      <c r="S62" s="48" t="str">
        <f aca="false">IF(N62="CRITICAL","Order immediately - stock-out before delivery",IF(N62="HIGH","Raise purchase order today",IF(N62="MEDIUM","Plan reorder this week","No action required")))</f>
        <v>No action required</v>
      </c>
      <c r="T62" s="55" t="n">
        <f aca="false">IF(I62="IN STOCK",0,IF(N62="CRITICAL",30,IF(N62="HIGH",20,10))+IF(G62&gt;0,(G62-F62)/G62,0)+ROW()/10000000)</f>
        <v>0</v>
      </c>
      <c r="U62" s="56" t="str">
        <f aca="false">IF(T62&gt;0,SUMPRODUCT(--($T$5:$T$104&gt;T62))+1,"")</f>
        <v/>
      </c>
    </row>
    <row r="63" customFormat="false" ht="15" hidden="false" customHeight="false" outlineLevel="0" collapsed="false">
      <c r="A63" s="43" t="n">
        <v>45292</v>
      </c>
      <c r="B63" s="44" t="s">
        <v>54</v>
      </c>
      <c r="C63" s="44" t="s">
        <v>118</v>
      </c>
      <c r="D63" s="44" t="s">
        <v>53</v>
      </c>
      <c r="E63" s="44" t="s">
        <v>74</v>
      </c>
      <c r="F63" s="45" t="n">
        <v>253</v>
      </c>
      <c r="G63" s="45" t="n">
        <v>197</v>
      </c>
      <c r="H63" s="46" t="n">
        <v>62</v>
      </c>
      <c r="I63" s="47" t="str">
        <f aca="false">IF(F63&lt;=G63,"REORDER NOW",IF(F63&lt;=G63*(1+Settings!$B$5),"LOW STOCK","IN STOCK"))</f>
        <v>IN STOCK</v>
      </c>
      <c r="J63" s="48" t="str">
        <f aca="false">IFERROR(INDEX(Suppliers!$B$5:$B$9,MATCH(D63,Suppliers!$C$5:$C$9,0)),"Unassigned")</f>
        <v>TechSource India</v>
      </c>
      <c r="K63" s="49" t="n">
        <f aca="false">IFERROR(INDEX(Suppliers!$D$5:$D$9,MATCH(D63,Suppliers!$C$5:$C$9,0)),0)</f>
        <v>7</v>
      </c>
      <c r="L63" s="50" t="n">
        <v>22.5</v>
      </c>
      <c r="M63" s="51" t="n">
        <f aca="false">IF(L63&gt;0,ROUND(F63/L63,1),"")</f>
        <v>11.2</v>
      </c>
      <c r="N63" s="52" t="str">
        <f aca="false">IF(I63="IN STOCK","-",IF(AND(M63&lt;&gt;"",M63&lt;K63),"CRITICAL",IF(I63="REORDER NOW","HIGH","MEDIUM")))</f>
        <v>-</v>
      </c>
      <c r="O63" s="49" t="n">
        <f aca="false">IF(I63="IN STOCK",0,MAX(0,ROUNDUP(G63*Settings!$B$6,0)-F63))</f>
        <v>0</v>
      </c>
      <c r="P63" s="53" t="n">
        <f aca="false">F63*H63</f>
        <v>15686</v>
      </c>
      <c r="Q63" s="53" t="n">
        <f aca="false">O63*H63</f>
        <v>0</v>
      </c>
      <c r="R63" s="54" t="str">
        <f aca="false">IF(I63="IN STOCK","",Settings!$B$7+K63)</f>
        <v/>
      </c>
      <c r="S63" s="48" t="str">
        <f aca="false">IF(N63="CRITICAL","Order immediately - stock-out before delivery",IF(N63="HIGH","Raise purchase order today",IF(N63="MEDIUM","Plan reorder this week","No action required")))</f>
        <v>No action required</v>
      </c>
      <c r="T63" s="55" t="n">
        <f aca="false">IF(I63="IN STOCK",0,IF(N63="CRITICAL",30,IF(N63="HIGH",20,10))+IF(G63&gt;0,(G63-F63)/G63,0)+ROW()/10000000)</f>
        <v>0</v>
      </c>
      <c r="U63" s="56" t="str">
        <f aca="false">IF(T63&gt;0,SUMPRODUCT(--($T$5:$T$104&gt;T63))+1,"")</f>
        <v/>
      </c>
    </row>
    <row r="64" customFormat="false" ht="15" hidden="false" customHeight="false" outlineLevel="0" collapsed="false">
      <c r="A64" s="43" t="n">
        <v>45292</v>
      </c>
      <c r="B64" s="44" t="s">
        <v>54</v>
      </c>
      <c r="C64" s="44" t="s">
        <v>119</v>
      </c>
      <c r="D64" s="44" t="s">
        <v>57</v>
      </c>
      <c r="E64" s="44" t="s">
        <v>74</v>
      </c>
      <c r="F64" s="45" t="n">
        <v>417</v>
      </c>
      <c r="G64" s="45" t="n">
        <v>286</v>
      </c>
      <c r="H64" s="46" t="n">
        <v>54.19</v>
      </c>
      <c r="I64" s="47" t="str">
        <f aca="false">IF(F64&lt;=G64,"REORDER NOW",IF(F64&lt;=G64*(1+Settings!$B$5),"LOW STOCK","IN STOCK"))</f>
        <v>IN STOCK</v>
      </c>
      <c r="J64" s="48" t="str">
        <f aca="false">IFERROR(INDEX(Suppliers!$B$5:$B$9,MATCH(D64,Suppliers!$C$5:$C$9,0)),"Unassigned")</f>
        <v>FreshLink Traders</v>
      </c>
      <c r="K64" s="49" t="n">
        <f aca="false">IFERROR(INDEX(Suppliers!$D$5:$D$9,MATCH(D64,Suppliers!$C$5:$C$9,0)),0)</f>
        <v>2</v>
      </c>
      <c r="L64" s="50" t="n">
        <v>132.7</v>
      </c>
      <c r="M64" s="51" t="n">
        <f aca="false">IF(L64&gt;0,ROUND(F64/L64,1),"")</f>
        <v>3.1</v>
      </c>
      <c r="N64" s="52" t="str">
        <f aca="false">IF(I64="IN STOCK","-",IF(AND(M64&lt;&gt;"",M64&lt;K64),"CRITICAL",IF(I64="REORDER NOW","HIGH","MEDIUM")))</f>
        <v>-</v>
      </c>
      <c r="O64" s="49" t="n">
        <f aca="false">IF(I64="IN STOCK",0,MAX(0,ROUNDUP(G64*Settings!$B$6,0)-F64))</f>
        <v>0</v>
      </c>
      <c r="P64" s="53" t="n">
        <f aca="false">F64*H64</f>
        <v>22597.23</v>
      </c>
      <c r="Q64" s="53" t="n">
        <f aca="false">O64*H64</f>
        <v>0</v>
      </c>
      <c r="R64" s="54" t="str">
        <f aca="false">IF(I64="IN STOCK","",Settings!$B$7+K64)</f>
        <v/>
      </c>
      <c r="S64" s="48" t="str">
        <f aca="false">IF(N64="CRITICAL","Order immediately - stock-out before delivery",IF(N64="HIGH","Raise purchase order today",IF(N64="MEDIUM","Plan reorder this week","No action required")))</f>
        <v>No action required</v>
      </c>
      <c r="T64" s="55" t="n">
        <f aca="false">IF(I64="IN STOCK",0,IF(N64="CRITICAL",30,IF(N64="HIGH",20,10))+IF(G64&gt;0,(G64-F64)/G64,0)+ROW()/10000000)</f>
        <v>0</v>
      </c>
      <c r="U64" s="56" t="str">
        <f aca="false">IF(T64&gt;0,SUMPRODUCT(--($T$5:$T$104&gt;T64))+1,"")</f>
        <v/>
      </c>
    </row>
    <row r="65" customFormat="false" ht="15" hidden="false" customHeight="false" outlineLevel="0" collapsed="false">
      <c r="A65" s="43" t="n">
        <v>45292</v>
      </c>
      <c r="B65" s="44" t="s">
        <v>56</v>
      </c>
      <c r="C65" s="44" t="s">
        <v>100</v>
      </c>
      <c r="D65" s="44" t="s">
        <v>53</v>
      </c>
      <c r="E65" s="44" t="s">
        <v>68</v>
      </c>
      <c r="F65" s="45" t="n">
        <v>497</v>
      </c>
      <c r="G65" s="45" t="n">
        <v>490</v>
      </c>
      <c r="H65" s="46" t="n">
        <v>42.34</v>
      </c>
      <c r="I65" s="47" t="str">
        <f aca="false">IF(F65&lt;=G65,"REORDER NOW",IF(F65&lt;=G65*(1+Settings!$B$5),"LOW STOCK","IN STOCK"))</f>
        <v>LOW STOCK</v>
      </c>
      <c r="J65" s="48" t="str">
        <f aca="false">IFERROR(INDEX(Suppliers!$B$5:$B$9,MATCH(D65,Suppliers!$C$5:$C$9,0)),"Unassigned")</f>
        <v>TechSource India</v>
      </c>
      <c r="K65" s="49" t="n">
        <f aca="false">IFERROR(INDEX(Suppliers!$D$5:$D$9,MATCH(D65,Suppliers!$C$5:$C$9,0)),0)</f>
        <v>7</v>
      </c>
      <c r="L65" s="50" t="n">
        <v>90.6</v>
      </c>
      <c r="M65" s="51" t="n">
        <f aca="false">IF(L65&gt;0,ROUND(F65/L65,1),"")</f>
        <v>5.5</v>
      </c>
      <c r="N65" s="52" t="str">
        <f aca="false">IF(I65="IN STOCK","-",IF(AND(M65&lt;&gt;"",M65&lt;K65),"CRITICAL",IF(I65="REORDER NOW","HIGH","MEDIUM")))</f>
        <v>CRITICAL</v>
      </c>
      <c r="O65" s="49" t="n">
        <f aca="false">IF(I65="IN STOCK",0,MAX(0,ROUNDUP(G65*Settings!$B$6,0)-F65))</f>
        <v>973</v>
      </c>
      <c r="P65" s="53" t="n">
        <f aca="false">F65*H65</f>
        <v>21042.98</v>
      </c>
      <c r="Q65" s="53" t="n">
        <f aca="false">O65*H65</f>
        <v>41196.82</v>
      </c>
      <c r="R65" s="54" t="n">
        <f aca="false">IF(I65="IN STOCK","",Settings!$B$7+K65)</f>
        <v>45299</v>
      </c>
      <c r="S65" s="48" t="str">
        <f aca="false">IF(N65="CRITICAL","Order immediately - stock-out before delivery",IF(N65="HIGH","Raise purchase order today",IF(N65="MEDIUM","Plan reorder this week","No action required")))</f>
        <v>Order immediately - stock-out before delivery</v>
      </c>
      <c r="T65" s="55" t="n">
        <f aca="false">IF(I65="IN STOCK",0,IF(N65="CRITICAL",30,IF(N65="HIGH",20,10))+IF(G65&gt;0,(G65-F65)/G65,0)+ROW()/10000000)</f>
        <v>29.9857207857143</v>
      </c>
      <c r="U65" s="56" t="n">
        <f aca="false">IF(T65&gt;0,SUMPRODUCT(--($T$5:$T$104&gt;T65))+1,"")</f>
        <v>4</v>
      </c>
    </row>
    <row r="66" customFormat="false" ht="15" hidden="false" customHeight="false" outlineLevel="0" collapsed="false">
      <c r="A66" s="43" t="n">
        <v>45292</v>
      </c>
      <c r="B66" s="44" t="s">
        <v>56</v>
      </c>
      <c r="C66" s="44" t="s">
        <v>101</v>
      </c>
      <c r="D66" s="44" t="s">
        <v>55</v>
      </c>
      <c r="E66" s="44" t="s">
        <v>74</v>
      </c>
      <c r="F66" s="45" t="n">
        <v>181</v>
      </c>
      <c r="G66" s="45" t="n">
        <v>193</v>
      </c>
      <c r="H66" s="46" t="n">
        <v>30.65</v>
      </c>
      <c r="I66" s="47" t="str">
        <f aca="false">IF(F66&lt;=G66,"REORDER NOW",IF(F66&lt;=G66*(1+Settings!$B$5),"LOW STOCK","IN STOCK"))</f>
        <v>REORDER NOW</v>
      </c>
      <c r="J66" s="48" t="str">
        <f aca="false">IFERROR(INDEX(Suppliers!$B$5:$B$9,MATCH(D66,Suppliers!$C$5:$C$9,0)),"Unassigned")</f>
        <v>HomeCraft Suppliers</v>
      </c>
      <c r="K66" s="49" t="n">
        <f aca="false">IFERROR(INDEX(Suppliers!$D$5:$D$9,MATCH(D66,Suppliers!$C$5:$C$9,0)),0)</f>
        <v>12</v>
      </c>
      <c r="L66" s="50" t="n">
        <v>17.4</v>
      </c>
      <c r="M66" s="51" t="n">
        <f aca="false">IF(L66&gt;0,ROUND(F66/L66,1),"")</f>
        <v>10.4</v>
      </c>
      <c r="N66" s="52" t="str">
        <f aca="false">IF(I66="IN STOCK","-",IF(AND(M66&lt;&gt;"",M66&lt;K66),"CRITICAL",IF(I66="REORDER NOW","HIGH","MEDIUM")))</f>
        <v>CRITICAL</v>
      </c>
      <c r="O66" s="49" t="n">
        <f aca="false">IF(I66="IN STOCK",0,MAX(0,ROUNDUP(G66*Settings!$B$6,0)-F66))</f>
        <v>398</v>
      </c>
      <c r="P66" s="53" t="n">
        <f aca="false">F66*H66</f>
        <v>5547.65</v>
      </c>
      <c r="Q66" s="53" t="n">
        <f aca="false">O66*H66</f>
        <v>12198.7</v>
      </c>
      <c r="R66" s="54" t="n">
        <f aca="false">IF(I66="IN STOCK","",Settings!$B$7+K66)</f>
        <v>45304</v>
      </c>
      <c r="S66" s="48" t="str">
        <f aca="false">IF(N66="CRITICAL","Order immediately - stock-out before delivery",IF(N66="HIGH","Raise purchase order today",IF(N66="MEDIUM","Plan reorder this week","No action required")))</f>
        <v>Order immediately - stock-out before delivery</v>
      </c>
      <c r="T66" s="55" t="n">
        <f aca="false">IF(I66="IN STOCK",0,IF(N66="CRITICAL",30,IF(N66="HIGH",20,10))+IF(G66&gt;0,(G66-F66)/G66,0)+ROW()/10000000)</f>
        <v>30.0621827658031</v>
      </c>
      <c r="U66" s="56" t="n">
        <f aca="false">IF(T66&gt;0,SUMPRODUCT(--($T$5:$T$104&gt;T66))+1,"")</f>
        <v>2</v>
      </c>
    </row>
    <row r="67" customFormat="false" ht="15" hidden="false" customHeight="false" outlineLevel="0" collapsed="false">
      <c r="A67" s="43" t="n">
        <v>45292</v>
      </c>
      <c r="B67" s="44" t="s">
        <v>56</v>
      </c>
      <c r="C67" s="44" t="s">
        <v>102</v>
      </c>
      <c r="D67" s="44" t="s">
        <v>55</v>
      </c>
      <c r="E67" s="44" t="s">
        <v>74</v>
      </c>
      <c r="F67" s="45" t="n">
        <v>419</v>
      </c>
      <c r="G67" s="45" t="n">
        <v>63</v>
      </c>
      <c r="H67" s="46" t="n">
        <v>72.63</v>
      </c>
      <c r="I67" s="47" t="str">
        <f aca="false">IF(F67&lt;=G67,"REORDER NOW",IF(F67&lt;=G67*(1+Settings!$B$5),"LOW STOCK","IN STOCK"))</f>
        <v>IN STOCK</v>
      </c>
      <c r="J67" s="48" t="str">
        <f aca="false">IFERROR(INDEX(Suppliers!$B$5:$B$9,MATCH(D67,Suppliers!$C$5:$C$9,0)),"Unassigned")</f>
        <v>HomeCraft Suppliers</v>
      </c>
      <c r="K67" s="49" t="n">
        <f aca="false">IFERROR(INDEX(Suppliers!$D$5:$D$9,MATCH(D67,Suppliers!$C$5:$C$9,0)),0)</f>
        <v>12</v>
      </c>
      <c r="L67" s="50" t="n">
        <v>5.4</v>
      </c>
      <c r="M67" s="51" t="n">
        <f aca="false">IF(L67&gt;0,ROUND(F67/L67,1),"")</f>
        <v>77.6</v>
      </c>
      <c r="N67" s="52" t="str">
        <f aca="false">IF(I67="IN STOCK","-",IF(AND(M67&lt;&gt;"",M67&lt;K67),"CRITICAL",IF(I67="REORDER NOW","HIGH","MEDIUM")))</f>
        <v>-</v>
      </c>
      <c r="O67" s="49" t="n">
        <f aca="false">IF(I67="IN STOCK",0,MAX(0,ROUNDUP(G67*Settings!$B$6,0)-F67))</f>
        <v>0</v>
      </c>
      <c r="P67" s="53" t="n">
        <f aca="false">F67*H67</f>
        <v>30431.97</v>
      </c>
      <c r="Q67" s="53" t="n">
        <f aca="false">O67*H67</f>
        <v>0</v>
      </c>
      <c r="R67" s="54" t="str">
        <f aca="false">IF(I67="IN STOCK","",Settings!$B$7+K67)</f>
        <v/>
      </c>
      <c r="S67" s="48" t="str">
        <f aca="false">IF(N67="CRITICAL","Order immediately - stock-out before delivery",IF(N67="HIGH","Raise purchase order today",IF(N67="MEDIUM","Plan reorder this week","No action required")))</f>
        <v>No action required</v>
      </c>
      <c r="T67" s="55" t="n">
        <f aca="false">IF(I67="IN STOCK",0,IF(N67="CRITICAL",30,IF(N67="HIGH",20,10))+IF(G67&gt;0,(G67-F67)/G67,0)+ROW()/10000000)</f>
        <v>0</v>
      </c>
      <c r="U67" s="56" t="str">
        <f aca="false">IF(T67&gt;0,SUMPRODUCT(--($T$5:$T$104&gt;T67))+1,"")</f>
        <v/>
      </c>
    </row>
    <row r="68" customFormat="false" ht="15" hidden="false" customHeight="false" outlineLevel="0" collapsed="false">
      <c r="A68" s="43" t="n">
        <v>45292</v>
      </c>
      <c r="B68" s="44" t="s">
        <v>56</v>
      </c>
      <c r="C68" s="44" t="s">
        <v>103</v>
      </c>
      <c r="D68" s="44" t="s">
        <v>55</v>
      </c>
      <c r="E68" s="44" t="s">
        <v>72</v>
      </c>
      <c r="F68" s="45" t="n">
        <v>105</v>
      </c>
      <c r="G68" s="45" t="n">
        <v>4</v>
      </c>
      <c r="H68" s="46" t="n">
        <v>43.53</v>
      </c>
      <c r="I68" s="47" t="str">
        <f aca="false">IF(F68&lt;=G68,"REORDER NOW",IF(F68&lt;=G68*(1+Settings!$B$5),"LOW STOCK","IN STOCK"))</f>
        <v>IN STOCK</v>
      </c>
      <c r="J68" s="48" t="str">
        <f aca="false">IFERROR(INDEX(Suppliers!$B$5:$B$9,MATCH(D68,Suppliers!$C$5:$C$9,0)),"Unassigned")</f>
        <v>HomeCraft Suppliers</v>
      </c>
      <c r="K68" s="49" t="n">
        <f aca="false">IFERROR(INDEX(Suppliers!$D$5:$D$9,MATCH(D68,Suppliers!$C$5:$C$9,0)),0)</f>
        <v>12</v>
      </c>
      <c r="L68" s="50" t="n">
        <v>0.5</v>
      </c>
      <c r="M68" s="51" t="n">
        <f aca="false">IF(L68&gt;0,ROUND(F68/L68,1),"")</f>
        <v>210</v>
      </c>
      <c r="N68" s="52" t="str">
        <f aca="false">IF(I68="IN STOCK","-",IF(AND(M68&lt;&gt;"",M68&lt;K68),"CRITICAL",IF(I68="REORDER NOW","HIGH","MEDIUM")))</f>
        <v>-</v>
      </c>
      <c r="O68" s="49" t="n">
        <f aca="false">IF(I68="IN STOCK",0,MAX(0,ROUNDUP(G68*Settings!$B$6,0)-F68))</f>
        <v>0</v>
      </c>
      <c r="P68" s="53" t="n">
        <f aca="false">F68*H68</f>
        <v>4570.65</v>
      </c>
      <c r="Q68" s="53" t="n">
        <f aca="false">O68*H68</f>
        <v>0</v>
      </c>
      <c r="R68" s="54" t="str">
        <f aca="false">IF(I68="IN STOCK","",Settings!$B$7+K68)</f>
        <v/>
      </c>
      <c r="S68" s="48" t="str">
        <f aca="false">IF(N68="CRITICAL","Order immediately - stock-out before delivery",IF(N68="HIGH","Raise purchase order today",IF(N68="MEDIUM","Plan reorder this week","No action required")))</f>
        <v>No action required</v>
      </c>
      <c r="T68" s="55" t="n">
        <f aca="false">IF(I68="IN STOCK",0,IF(N68="CRITICAL",30,IF(N68="HIGH",20,10))+IF(G68&gt;0,(G68-F68)/G68,0)+ROW()/10000000)</f>
        <v>0</v>
      </c>
      <c r="U68" s="56" t="str">
        <f aca="false">IF(T68&gt;0,SUMPRODUCT(--($T$5:$T$104&gt;T68))+1,"")</f>
        <v/>
      </c>
    </row>
    <row r="69" customFormat="false" ht="15" hidden="false" customHeight="false" outlineLevel="0" collapsed="false">
      <c r="A69" s="43" t="n">
        <v>45292</v>
      </c>
      <c r="B69" s="44" t="s">
        <v>56</v>
      </c>
      <c r="C69" s="44" t="s">
        <v>104</v>
      </c>
      <c r="D69" s="44" t="s">
        <v>59</v>
      </c>
      <c r="E69" s="44" t="s">
        <v>68</v>
      </c>
      <c r="F69" s="45" t="n">
        <v>217</v>
      </c>
      <c r="G69" s="45" t="n">
        <v>103</v>
      </c>
      <c r="H69" s="46" t="n">
        <v>77.66</v>
      </c>
      <c r="I69" s="47" t="str">
        <f aca="false">IF(F69&lt;=G69,"REORDER NOW",IF(F69&lt;=G69*(1+Settings!$B$5),"LOW STOCK","IN STOCK"))</f>
        <v>IN STOCK</v>
      </c>
      <c r="J69" s="48" t="str">
        <f aca="false">IFERROR(INDEX(Suppliers!$B$5:$B$9,MATCH(D69,Suppliers!$C$5:$C$9,0)),"Unassigned")</f>
        <v>PlayWorld Distributors</v>
      </c>
      <c r="K69" s="49" t="n">
        <f aca="false">IFERROR(INDEX(Suppliers!$D$5:$D$9,MATCH(D69,Suppliers!$C$5:$C$9,0)),0)</f>
        <v>5</v>
      </c>
      <c r="L69" s="50" t="n">
        <v>24.8</v>
      </c>
      <c r="M69" s="51" t="n">
        <f aca="false">IF(L69&gt;0,ROUND(F69/L69,1),"")</f>
        <v>8.8</v>
      </c>
      <c r="N69" s="52" t="str">
        <f aca="false">IF(I69="IN STOCK","-",IF(AND(M69&lt;&gt;"",M69&lt;K69),"CRITICAL",IF(I69="REORDER NOW","HIGH","MEDIUM")))</f>
        <v>-</v>
      </c>
      <c r="O69" s="49" t="n">
        <f aca="false">IF(I69="IN STOCK",0,MAX(0,ROUNDUP(G69*Settings!$B$6,0)-F69))</f>
        <v>0</v>
      </c>
      <c r="P69" s="53" t="n">
        <f aca="false">F69*H69</f>
        <v>16852.22</v>
      </c>
      <c r="Q69" s="53" t="n">
        <f aca="false">O69*H69</f>
        <v>0</v>
      </c>
      <c r="R69" s="54" t="str">
        <f aca="false">IF(I69="IN STOCK","",Settings!$B$7+K69)</f>
        <v/>
      </c>
      <c r="S69" s="48" t="str">
        <f aca="false">IF(N69="CRITICAL","Order immediately - stock-out before delivery",IF(N69="HIGH","Raise purchase order today",IF(N69="MEDIUM","Plan reorder this week","No action required")))</f>
        <v>No action required</v>
      </c>
      <c r="T69" s="55" t="n">
        <f aca="false">IF(I69="IN STOCK",0,IF(N69="CRITICAL",30,IF(N69="HIGH",20,10))+IF(G69&gt;0,(G69-F69)/G69,0)+ROW()/10000000)</f>
        <v>0</v>
      </c>
      <c r="U69" s="56" t="str">
        <f aca="false">IF(T69&gt;0,SUMPRODUCT(--($T$5:$T$104&gt;T69))+1,"")</f>
        <v/>
      </c>
    </row>
    <row r="70" customFormat="false" ht="15" hidden="false" customHeight="false" outlineLevel="0" collapsed="false">
      <c r="A70" s="43" t="n">
        <v>45292</v>
      </c>
      <c r="B70" s="44" t="s">
        <v>56</v>
      </c>
      <c r="C70" s="44" t="s">
        <v>105</v>
      </c>
      <c r="D70" s="44" t="s">
        <v>59</v>
      </c>
      <c r="E70" s="44" t="s">
        <v>68</v>
      </c>
      <c r="F70" s="45" t="n">
        <v>364</v>
      </c>
      <c r="G70" s="45" t="n">
        <v>205</v>
      </c>
      <c r="H70" s="46" t="n">
        <v>42.43</v>
      </c>
      <c r="I70" s="47" t="str">
        <f aca="false">IF(F70&lt;=G70,"REORDER NOW",IF(F70&lt;=G70*(1+Settings!$B$5),"LOW STOCK","IN STOCK"))</f>
        <v>IN STOCK</v>
      </c>
      <c r="J70" s="48" t="str">
        <f aca="false">IFERROR(INDEX(Suppliers!$B$5:$B$9,MATCH(D70,Suppliers!$C$5:$C$9,0)),"Unassigned")</f>
        <v>PlayWorld Distributors</v>
      </c>
      <c r="K70" s="49" t="n">
        <f aca="false">IFERROR(INDEX(Suppliers!$D$5:$D$9,MATCH(D70,Suppliers!$C$5:$C$9,0)),0)</f>
        <v>5</v>
      </c>
      <c r="L70" s="50" t="n">
        <v>47.8</v>
      </c>
      <c r="M70" s="51" t="n">
        <f aca="false">IF(L70&gt;0,ROUND(F70/L70,1),"")</f>
        <v>7.6</v>
      </c>
      <c r="N70" s="52" t="str">
        <f aca="false">IF(I70="IN STOCK","-",IF(AND(M70&lt;&gt;"",M70&lt;K70),"CRITICAL",IF(I70="REORDER NOW","HIGH","MEDIUM")))</f>
        <v>-</v>
      </c>
      <c r="O70" s="49" t="n">
        <f aca="false">IF(I70="IN STOCK",0,MAX(0,ROUNDUP(G70*Settings!$B$6,0)-F70))</f>
        <v>0</v>
      </c>
      <c r="P70" s="53" t="n">
        <f aca="false">F70*H70</f>
        <v>15444.52</v>
      </c>
      <c r="Q70" s="53" t="n">
        <f aca="false">O70*H70</f>
        <v>0</v>
      </c>
      <c r="R70" s="54" t="str">
        <f aca="false">IF(I70="IN STOCK","",Settings!$B$7+K70)</f>
        <v/>
      </c>
      <c r="S70" s="48" t="str">
        <f aca="false">IF(N70="CRITICAL","Order immediately - stock-out before delivery",IF(N70="HIGH","Raise purchase order today",IF(N70="MEDIUM","Plan reorder this week","No action required")))</f>
        <v>No action required</v>
      </c>
      <c r="T70" s="55" t="n">
        <f aca="false">IF(I70="IN STOCK",0,IF(N70="CRITICAL",30,IF(N70="HIGH",20,10))+IF(G70&gt;0,(G70-F70)/G70,0)+ROW()/10000000)</f>
        <v>0</v>
      </c>
      <c r="U70" s="56" t="str">
        <f aca="false">IF(T70&gt;0,SUMPRODUCT(--($T$5:$T$104&gt;T70))+1,"")</f>
        <v/>
      </c>
    </row>
    <row r="71" customFormat="false" ht="15" hidden="false" customHeight="false" outlineLevel="0" collapsed="false">
      <c r="A71" s="43" t="n">
        <v>45292</v>
      </c>
      <c r="B71" s="44" t="s">
        <v>56</v>
      </c>
      <c r="C71" s="44" t="s">
        <v>106</v>
      </c>
      <c r="D71" s="44" t="s">
        <v>53</v>
      </c>
      <c r="E71" s="44" t="s">
        <v>72</v>
      </c>
      <c r="F71" s="45" t="n">
        <v>134</v>
      </c>
      <c r="G71" s="45" t="n">
        <v>116</v>
      </c>
      <c r="H71" s="46" t="n">
        <v>27.45</v>
      </c>
      <c r="I71" s="47" t="str">
        <f aca="false">IF(F71&lt;=G71,"REORDER NOW",IF(F71&lt;=G71*(1+Settings!$B$5),"LOW STOCK","IN STOCK"))</f>
        <v>LOW STOCK</v>
      </c>
      <c r="J71" s="48" t="str">
        <f aca="false">IFERROR(INDEX(Suppliers!$B$5:$B$9,MATCH(D71,Suppliers!$C$5:$C$9,0)),"Unassigned")</f>
        <v>TechSource India</v>
      </c>
      <c r="K71" s="49" t="n">
        <f aca="false">IFERROR(INDEX(Suppliers!$D$5:$D$9,MATCH(D71,Suppliers!$C$5:$C$9,0)),0)</f>
        <v>7</v>
      </c>
      <c r="L71" s="50" t="n">
        <v>13.9</v>
      </c>
      <c r="M71" s="51" t="n">
        <f aca="false">IF(L71&gt;0,ROUND(F71/L71,1),"")</f>
        <v>9.6</v>
      </c>
      <c r="N71" s="52" t="str">
        <f aca="false">IF(I71="IN STOCK","-",IF(AND(M71&lt;&gt;"",M71&lt;K71),"CRITICAL",IF(I71="REORDER NOW","HIGH","MEDIUM")))</f>
        <v>MEDIUM</v>
      </c>
      <c r="O71" s="49" t="n">
        <f aca="false">IF(I71="IN STOCK",0,MAX(0,ROUNDUP(G71*Settings!$B$6,0)-F71))</f>
        <v>214</v>
      </c>
      <c r="P71" s="53" t="n">
        <f aca="false">F71*H71</f>
        <v>3678.3</v>
      </c>
      <c r="Q71" s="53" t="n">
        <f aca="false">O71*H71</f>
        <v>5874.3</v>
      </c>
      <c r="R71" s="54" t="n">
        <f aca="false">IF(I71="IN STOCK","",Settings!$B$7+K71)</f>
        <v>45299</v>
      </c>
      <c r="S71" s="48" t="str">
        <f aca="false">IF(N71="CRITICAL","Order immediately - stock-out before delivery",IF(N71="HIGH","Raise purchase order today",IF(N71="MEDIUM","Plan reorder this week","No action required")))</f>
        <v>Plan reorder this week</v>
      </c>
      <c r="T71" s="55" t="n">
        <f aca="false">IF(I71="IN STOCK",0,IF(N71="CRITICAL",30,IF(N71="HIGH",20,10))+IF(G71&gt;0,(G71-F71)/G71,0)+ROW()/10000000)</f>
        <v>9.8448346862069</v>
      </c>
      <c r="U71" s="56" t="n">
        <f aca="false">IF(T71&gt;0,SUMPRODUCT(--($T$5:$T$104&gt;T71))+1,"")</f>
        <v>16</v>
      </c>
    </row>
    <row r="72" customFormat="false" ht="15" hidden="false" customHeight="false" outlineLevel="0" collapsed="false">
      <c r="A72" s="43" t="n">
        <v>45292</v>
      </c>
      <c r="B72" s="44" t="s">
        <v>56</v>
      </c>
      <c r="C72" s="44" t="s">
        <v>107</v>
      </c>
      <c r="D72" s="44" t="s">
        <v>55</v>
      </c>
      <c r="E72" s="44" t="s">
        <v>74</v>
      </c>
      <c r="F72" s="45" t="n">
        <v>390</v>
      </c>
      <c r="G72" s="45" t="n">
        <v>369</v>
      </c>
      <c r="H72" s="46" t="n">
        <v>80.66</v>
      </c>
      <c r="I72" s="47" t="str">
        <f aca="false">IF(F72&lt;=G72,"REORDER NOW",IF(F72&lt;=G72*(1+Settings!$B$5),"LOW STOCK","IN STOCK"))</f>
        <v>LOW STOCK</v>
      </c>
      <c r="J72" s="48" t="str">
        <f aca="false">IFERROR(INDEX(Suppliers!$B$5:$B$9,MATCH(D72,Suppliers!$C$5:$C$9,0)),"Unassigned")</f>
        <v>HomeCraft Suppliers</v>
      </c>
      <c r="K72" s="49" t="n">
        <f aca="false">IFERROR(INDEX(Suppliers!$D$5:$D$9,MATCH(D72,Suppliers!$C$5:$C$9,0)),0)</f>
        <v>12</v>
      </c>
      <c r="L72" s="50" t="n">
        <v>22.1</v>
      </c>
      <c r="M72" s="51" t="n">
        <f aca="false">IF(L72&gt;0,ROUND(F72/L72,1),"")</f>
        <v>17.6</v>
      </c>
      <c r="N72" s="52" t="str">
        <f aca="false">IF(I72="IN STOCK","-",IF(AND(M72&lt;&gt;"",M72&lt;K72),"CRITICAL",IF(I72="REORDER NOW","HIGH","MEDIUM")))</f>
        <v>MEDIUM</v>
      </c>
      <c r="O72" s="49" t="n">
        <f aca="false">IF(I72="IN STOCK",0,MAX(0,ROUNDUP(G72*Settings!$B$6,0)-F72))</f>
        <v>717</v>
      </c>
      <c r="P72" s="53" t="n">
        <f aca="false">F72*H72</f>
        <v>31457.4</v>
      </c>
      <c r="Q72" s="53" t="n">
        <f aca="false">O72*H72</f>
        <v>57833.22</v>
      </c>
      <c r="R72" s="54" t="n">
        <f aca="false">IF(I72="IN STOCK","",Settings!$B$7+K72)</f>
        <v>45304</v>
      </c>
      <c r="S72" s="48" t="str">
        <f aca="false">IF(N72="CRITICAL","Order immediately - stock-out before delivery",IF(N72="HIGH","Raise purchase order today",IF(N72="MEDIUM","Plan reorder this week","No action required")))</f>
        <v>Plan reorder this week</v>
      </c>
      <c r="T72" s="55" t="n">
        <f aca="false">IF(I72="IN STOCK",0,IF(N72="CRITICAL",30,IF(N72="HIGH",20,10))+IF(G72&gt;0,(G72-F72)/G72,0)+ROW()/10000000)</f>
        <v>9.94309663089431</v>
      </c>
      <c r="U72" s="56" t="n">
        <f aca="false">IF(T72&gt;0,SUMPRODUCT(--($T$5:$T$104&gt;T72))+1,"")</f>
        <v>10</v>
      </c>
    </row>
    <row r="73" customFormat="false" ht="15" hidden="false" customHeight="false" outlineLevel="0" collapsed="false">
      <c r="A73" s="43" t="n">
        <v>45292</v>
      </c>
      <c r="B73" s="44" t="s">
        <v>56</v>
      </c>
      <c r="C73" s="44" t="s">
        <v>108</v>
      </c>
      <c r="D73" s="44" t="s">
        <v>51</v>
      </c>
      <c r="E73" s="44" t="s">
        <v>68</v>
      </c>
      <c r="F73" s="45" t="n">
        <v>115</v>
      </c>
      <c r="G73" s="45" t="n">
        <v>67</v>
      </c>
      <c r="H73" s="46" t="n">
        <v>48.65</v>
      </c>
      <c r="I73" s="47" t="str">
        <f aca="false">IF(F73&lt;=G73,"REORDER NOW",IF(F73&lt;=G73*(1+Settings!$B$5),"LOW STOCK","IN STOCK"))</f>
        <v>IN STOCK</v>
      </c>
      <c r="J73" s="48" t="str">
        <f aca="false">IFERROR(INDEX(Suppliers!$B$5:$B$9,MATCH(D73,Suppliers!$C$5:$C$9,0)),"Unassigned")</f>
        <v>StyleHub Wholesale</v>
      </c>
      <c r="K73" s="49" t="n">
        <f aca="false">IFERROR(INDEX(Suppliers!$D$5:$D$9,MATCH(D73,Suppliers!$C$5:$C$9,0)),0)</f>
        <v>6</v>
      </c>
      <c r="L73" s="50" t="n">
        <v>9.9</v>
      </c>
      <c r="M73" s="51" t="n">
        <f aca="false">IF(L73&gt;0,ROUND(F73/L73,1),"")</f>
        <v>11.6</v>
      </c>
      <c r="N73" s="52" t="str">
        <f aca="false">IF(I73="IN STOCK","-",IF(AND(M73&lt;&gt;"",M73&lt;K73),"CRITICAL",IF(I73="REORDER NOW","HIGH","MEDIUM")))</f>
        <v>-</v>
      </c>
      <c r="O73" s="49" t="n">
        <f aca="false">IF(I73="IN STOCK",0,MAX(0,ROUNDUP(G73*Settings!$B$6,0)-F73))</f>
        <v>0</v>
      </c>
      <c r="P73" s="53" t="n">
        <f aca="false">F73*H73</f>
        <v>5594.75</v>
      </c>
      <c r="Q73" s="53" t="n">
        <f aca="false">O73*H73</f>
        <v>0</v>
      </c>
      <c r="R73" s="54" t="str">
        <f aca="false">IF(I73="IN STOCK","",Settings!$B$7+K73)</f>
        <v/>
      </c>
      <c r="S73" s="48" t="str">
        <f aca="false">IF(N73="CRITICAL","Order immediately - stock-out before delivery",IF(N73="HIGH","Raise purchase order today",IF(N73="MEDIUM","Plan reorder this week","No action required")))</f>
        <v>No action required</v>
      </c>
      <c r="T73" s="55" t="n">
        <f aca="false">IF(I73="IN STOCK",0,IF(N73="CRITICAL",30,IF(N73="HIGH",20,10))+IF(G73&gt;0,(G73-F73)/G73,0)+ROW()/10000000)</f>
        <v>0</v>
      </c>
      <c r="U73" s="56" t="str">
        <f aca="false">IF(T73&gt;0,SUMPRODUCT(--($T$5:$T$104&gt;T73))+1,"")</f>
        <v/>
      </c>
    </row>
    <row r="74" customFormat="false" ht="15" hidden="false" customHeight="false" outlineLevel="0" collapsed="false">
      <c r="A74" s="43" t="n">
        <v>45292</v>
      </c>
      <c r="B74" s="44" t="s">
        <v>56</v>
      </c>
      <c r="C74" s="44" t="s">
        <v>109</v>
      </c>
      <c r="D74" s="44" t="s">
        <v>59</v>
      </c>
      <c r="E74" s="44" t="s">
        <v>70</v>
      </c>
      <c r="F74" s="45" t="n">
        <v>382</v>
      </c>
      <c r="G74" s="45" t="n">
        <v>121</v>
      </c>
      <c r="H74" s="46" t="n">
        <v>15.35</v>
      </c>
      <c r="I74" s="47" t="str">
        <f aca="false">IF(F74&lt;=G74,"REORDER NOW",IF(F74&lt;=G74*(1+Settings!$B$5),"LOW STOCK","IN STOCK"))</f>
        <v>IN STOCK</v>
      </c>
      <c r="J74" s="48" t="str">
        <f aca="false">IFERROR(INDEX(Suppliers!$B$5:$B$9,MATCH(D74,Suppliers!$C$5:$C$9,0)),"Unassigned")</f>
        <v>PlayWorld Distributors</v>
      </c>
      <c r="K74" s="49" t="n">
        <f aca="false">IFERROR(INDEX(Suppliers!$D$5:$D$9,MATCH(D74,Suppliers!$C$5:$C$9,0)),0)</f>
        <v>5</v>
      </c>
      <c r="L74" s="50" t="n">
        <v>20.8</v>
      </c>
      <c r="M74" s="51" t="n">
        <f aca="false">IF(L74&gt;0,ROUND(F74/L74,1),"")</f>
        <v>18.4</v>
      </c>
      <c r="N74" s="52" t="str">
        <f aca="false">IF(I74="IN STOCK","-",IF(AND(M74&lt;&gt;"",M74&lt;K74),"CRITICAL",IF(I74="REORDER NOW","HIGH","MEDIUM")))</f>
        <v>-</v>
      </c>
      <c r="O74" s="49" t="n">
        <f aca="false">IF(I74="IN STOCK",0,MAX(0,ROUNDUP(G74*Settings!$B$6,0)-F74))</f>
        <v>0</v>
      </c>
      <c r="P74" s="53" t="n">
        <f aca="false">F74*H74</f>
        <v>5863.7</v>
      </c>
      <c r="Q74" s="53" t="n">
        <f aca="false">O74*H74</f>
        <v>0</v>
      </c>
      <c r="R74" s="54" t="str">
        <f aca="false">IF(I74="IN STOCK","",Settings!$B$7+K74)</f>
        <v/>
      </c>
      <c r="S74" s="48" t="str">
        <f aca="false">IF(N74="CRITICAL","Order immediately - stock-out before delivery",IF(N74="HIGH","Raise purchase order today",IF(N74="MEDIUM","Plan reorder this week","No action required")))</f>
        <v>No action required</v>
      </c>
      <c r="T74" s="55" t="n">
        <f aca="false">IF(I74="IN STOCK",0,IF(N74="CRITICAL",30,IF(N74="HIGH",20,10))+IF(G74&gt;0,(G74-F74)/G74,0)+ROW()/10000000)</f>
        <v>0</v>
      </c>
      <c r="U74" s="56" t="str">
        <f aca="false">IF(T74&gt;0,SUMPRODUCT(--($T$5:$T$104&gt;T74))+1,"")</f>
        <v/>
      </c>
    </row>
    <row r="75" customFormat="false" ht="15" hidden="false" customHeight="false" outlineLevel="0" collapsed="false">
      <c r="A75" s="43" t="n">
        <v>45292</v>
      </c>
      <c r="B75" s="44" t="s">
        <v>56</v>
      </c>
      <c r="C75" s="44" t="s">
        <v>110</v>
      </c>
      <c r="D75" s="44" t="s">
        <v>57</v>
      </c>
      <c r="E75" s="44" t="s">
        <v>68</v>
      </c>
      <c r="F75" s="45" t="n">
        <v>155</v>
      </c>
      <c r="G75" s="45" t="n">
        <v>124</v>
      </c>
      <c r="H75" s="46" t="n">
        <v>88.17</v>
      </c>
      <c r="I75" s="47" t="str">
        <f aca="false">IF(F75&lt;=G75,"REORDER NOW",IF(F75&lt;=G75*(1+Settings!$B$5),"LOW STOCK","IN STOCK"))</f>
        <v>LOW STOCK</v>
      </c>
      <c r="J75" s="48" t="str">
        <f aca="false">IFERROR(INDEX(Suppliers!$B$5:$B$9,MATCH(D75,Suppliers!$C$5:$C$9,0)),"Unassigned")</f>
        <v>FreshLink Traders</v>
      </c>
      <c r="K75" s="49" t="n">
        <f aca="false">IFERROR(INDEX(Suppliers!$D$5:$D$9,MATCH(D75,Suppliers!$C$5:$C$9,0)),0)</f>
        <v>2</v>
      </c>
      <c r="L75" s="50" t="n">
        <v>51.2</v>
      </c>
      <c r="M75" s="51" t="n">
        <f aca="false">IF(L75&gt;0,ROUND(F75/L75,1),"")</f>
        <v>3</v>
      </c>
      <c r="N75" s="52" t="str">
        <f aca="false">IF(I75="IN STOCK","-",IF(AND(M75&lt;&gt;"",M75&lt;K75),"CRITICAL",IF(I75="REORDER NOW","HIGH","MEDIUM")))</f>
        <v>MEDIUM</v>
      </c>
      <c r="O75" s="49" t="n">
        <f aca="false">IF(I75="IN STOCK",0,MAX(0,ROUNDUP(G75*Settings!$B$6,0)-F75))</f>
        <v>217</v>
      </c>
      <c r="P75" s="53" t="n">
        <f aca="false">F75*H75</f>
        <v>13666.35</v>
      </c>
      <c r="Q75" s="53" t="n">
        <f aca="false">O75*H75</f>
        <v>19132.89</v>
      </c>
      <c r="R75" s="54" t="n">
        <f aca="false">IF(I75="IN STOCK","",Settings!$B$7+K75)</f>
        <v>45294</v>
      </c>
      <c r="S75" s="48" t="str">
        <f aca="false">IF(N75="CRITICAL","Order immediately - stock-out before delivery",IF(N75="HIGH","Raise purchase order today",IF(N75="MEDIUM","Plan reorder this week","No action required")))</f>
        <v>Plan reorder this week</v>
      </c>
      <c r="T75" s="55" t="n">
        <f aca="false">IF(I75="IN STOCK",0,IF(N75="CRITICAL",30,IF(N75="HIGH",20,10))+IF(G75&gt;0,(G75-F75)/G75,0)+ROW()/10000000)</f>
        <v>9.7500075</v>
      </c>
      <c r="U75" s="56" t="n">
        <f aca="false">IF(T75&gt;0,SUMPRODUCT(--($T$5:$T$104&gt;T75))+1,"")</f>
        <v>21</v>
      </c>
    </row>
    <row r="76" customFormat="false" ht="15" hidden="false" customHeight="false" outlineLevel="0" collapsed="false">
      <c r="A76" s="43" t="n">
        <v>45292</v>
      </c>
      <c r="B76" s="44" t="s">
        <v>56</v>
      </c>
      <c r="C76" s="44" t="s">
        <v>111</v>
      </c>
      <c r="D76" s="44" t="s">
        <v>51</v>
      </c>
      <c r="E76" s="44" t="s">
        <v>68</v>
      </c>
      <c r="F76" s="45" t="n">
        <v>85</v>
      </c>
      <c r="G76" s="45" t="n">
        <v>64</v>
      </c>
      <c r="H76" s="46" t="n">
        <v>11.65</v>
      </c>
      <c r="I76" s="47" t="str">
        <f aca="false">IF(F76&lt;=G76,"REORDER NOW",IF(F76&lt;=G76*(1+Settings!$B$5),"LOW STOCK","IN STOCK"))</f>
        <v>IN STOCK</v>
      </c>
      <c r="J76" s="48" t="str">
        <f aca="false">IFERROR(INDEX(Suppliers!$B$5:$B$9,MATCH(D76,Suppliers!$C$5:$C$9,0)),"Unassigned")</f>
        <v>StyleHub Wholesale</v>
      </c>
      <c r="K76" s="49" t="n">
        <f aca="false">IFERROR(INDEX(Suppliers!$D$5:$D$9,MATCH(D76,Suppliers!$C$5:$C$9,0)),0)</f>
        <v>6</v>
      </c>
      <c r="L76" s="50" t="n">
        <v>13.5</v>
      </c>
      <c r="M76" s="51" t="n">
        <f aca="false">IF(L76&gt;0,ROUND(F76/L76,1),"")</f>
        <v>6.3</v>
      </c>
      <c r="N76" s="52" t="str">
        <f aca="false">IF(I76="IN STOCK","-",IF(AND(M76&lt;&gt;"",M76&lt;K76),"CRITICAL",IF(I76="REORDER NOW","HIGH","MEDIUM")))</f>
        <v>-</v>
      </c>
      <c r="O76" s="49" t="n">
        <f aca="false">IF(I76="IN STOCK",0,MAX(0,ROUNDUP(G76*Settings!$B$6,0)-F76))</f>
        <v>0</v>
      </c>
      <c r="P76" s="53" t="n">
        <f aca="false">F76*H76</f>
        <v>990.25</v>
      </c>
      <c r="Q76" s="53" t="n">
        <f aca="false">O76*H76</f>
        <v>0</v>
      </c>
      <c r="R76" s="54" t="str">
        <f aca="false">IF(I76="IN STOCK","",Settings!$B$7+K76)</f>
        <v/>
      </c>
      <c r="S76" s="48" t="str">
        <f aca="false">IF(N76="CRITICAL","Order immediately - stock-out before delivery",IF(N76="HIGH","Raise purchase order today",IF(N76="MEDIUM","Plan reorder this week","No action required")))</f>
        <v>No action required</v>
      </c>
      <c r="T76" s="55" t="n">
        <f aca="false">IF(I76="IN STOCK",0,IF(N76="CRITICAL",30,IF(N76="HIGH",20,10))+IF(G76&gt;0,(G76-F76)/G76,0)+ROW()/10000000)</f>
        <v>0</v>
      </c>
      <c r="U76" s="56" t="str">
        <f aca="false">IF(T76&gt;0,SUMPRODUCT(--($T$5:$T$104&gt;T76))+1,"")</f>
        <v/>
      </c>
    </row>
    <row r="77" customFormat="false" ht="15" hidden="false" customHeight="false" outlineLevel="0" collapsed="false">
      <c r="A77" s="43" t="n">
        <v>45292</v>
      </c>
      <c r="B77" s="44" t="s">
        <v>56</v>
      </c>
      <c r="C77" s="44" t="s">
        <v>112</v>
      </c>
      <c r="D77" s="44" t="s">
        <v>53</v>
      </c>
      <c r="E77" s="44" t="s">
        <v>74</v>
      </c>
      <c r="F77" s="45" t="n">
        <v>113</v>
      </c>
      <c r="G77" s="45" t="n">
        <v>11</v>
      </c>
      <c r="H77" s="46" t="n">
        <v>90.89</v>
      </c>
      <c r="I77" s="47" t="str">
        <f aca="false">IF(F77&lt;=G77,"REORDER NOW",IF(F77&lt;=G77*(1+Settings!$B$5),"LOW STOCK","IN STOCK"))</f>
        <v>IN STOCK</v>
      </c>
      <c r="J77" s="48" t="str">
        <f aca="false">IFERROR(INDEX(Suppliers!$B$5:$B$9,MATCH(D77,Suppliers!$C$5:$C$9,0)),"Unassigned")</f>
        <v>TechSource India</v>
      </c>
      <c r="K77" s="49" t="n">
        <f aca="false">IFERROR(INDEX(Suppliers!$D$5:$D$9,MATCH(D77,Suppliers!$C$5:$C$9,0)),0)</f>
        <v>7</v>
      </c>
      <c r="L77" s="50" t="n">
        <v>1.9</v>
      </c>
      <c r="M77" s="51" t="n">
        <f aca="false">IF(L77&gt;0,ROUND(F77/L77,1),"")</f>
        <v>59.5</v>
      </c>
      <c r="N77" s="52" t="str">
        <f aca="false">IF(I77="IN STOCK","-",IF(AND(M77&lt;&gt;"",M77&lt;K77),"CRITICAL",IF(I77="REORDER NOW","HIGH","MEDIUM")))</f>
        <v>-</v>
      </c>
      <c r="O77" s="49" t="n">
        <f aca="false">IF(I77="IN STOCK",0,MAX(0,ROUNDUP(G77*Settings!$B$6,0)-F77))</f>
        <v>0</v>
      </c>
      <c r="P77" s="53" t="n">
        <f aca="false">F77*H77</f>
        <v>10270.57</v>
      </c>
      <c r="Q77" s="53" t="n">
        <f aca="false">O77*H77</f>
        <v>0</v>
      </c>
      <c r="R77" s="54" t="str">
        <f aca="false">IF(I77="IN STOCK","",Settings!$B$7+K77)</f>
        <v/>
      </c>
      <c r="S77" s="48" t="str">
        <f aca="false">IF(N77="CRITICAL","Order immediately - stock-out before delivery",IF(N77="HIGH","Raise purchase order today",IF(N77="MEDIUM","Plan reorder this week","No action required")))</f>
        <v>No action required</v>
      </c>
      <c r="T77" s="55" t="n">
        <f aca="false">IF(I77="IN STOCK",0,IF(N77="CRITICAL",30,IF(N77="HIGH",20,10))+IF(G77&gt;0,(G77-F77)/G77,0)+ROW()/10000000)</f>
        <v>0</v>
      </c>
      <c r="U77" s="56" t="str">
        <f aca="false">IF(T77&gt;0,SUMPRODUCT(--($T$5:$T$104&gt;T77))+1,"")</f>
        <v/>
      </c>
    </row>
    <row r="78" customFormat="false" ht="15" hidden="false" customHeight="false" outlineLevel="0" collapsed="false">
      <c r="A78" s="43" t="n">
        <v>45292</v>
      </c>
      <c r="B78" s="44" t="s">
        <v>56</v>
      </c>
      <c r="C78" s="44" t="s">
        <v>113</v>
      </c>
      <c r="D78" s="44" t="s">
        <v>55</v>
      </c>
      <c r="E78" s="44" t="s">
        <v>72</v>
      </c>
      <c r="F78" s="45" t="n">
        <v>386</v>
      </c>
      <c r="G78" s="45" t="n">
        <v>188</v>
      </c>
      <c r="H78" s="46" t="n">
        <v>53.27</v>
      </c>
      <c r="I78" s="47" t="str">
        <f aca="false">IF(F78&lt;=G78,"REORDER NOW",IF(F78&lt;=G78*(1+Settings!$B$5),"LOW STOCK","IN STOCK"))</f>
        <v>IN STOCK</v>
      </c>
      <c r="J78" s="48" t="str">
        <f aca="false">IFERROR(INDEX(Suppliers!$B$5:$B$9,MATCH(D78,Suppliers!$C$5:$C$9,0)),"Unassigned")</f>
        <v>HomeCraft Suppliers</v>
      </c>
      <c r="K78" s="49" t="n">
        <f aca="false">IFERROR(INDEX(Suppliers!$D$5:$D$9,MATCH(D78,Suppliers!$C$5:$C$9,0)),0)</f>
        <v>12</v>
      </c>
      <c r="L78" s="50" t="n">
        <v>13.9</v>
      </c>
      <c r="M78" s="51" t="n">
        <f aca="false">IF(L78&gt;0,ROUND(F78/L78,1),"")</f>
        <v>27.8</v>
      </c>
      <c r="N78" s="52" t="str">
        <f aca="false">IF(I78="IN STOCK","-",IF(AND(M78&lt;&gt;"",M78&lt;K78),"CRITICAL",IF(I78="REORDER NOW","HIGH","MEDIUM")))</f>
        <v>-</v>
      </c>
      <c r="O78" s="49" t="n">
        <f aca="false">IF(I78="IN STOCK",0,MAX(0,ROUNDUP(G78*Settings!$B$6,0)-F78))</f>
        <v>0</v>
      </c>
      <c r="P78" s="53" t="n">
        <f aca="false">F78*H78</f>
        <v>20562.22</v>
      </c>
      <c r="Q78" s="53" t="n">
        <f aca="false">O78*H78</f>
        <v>0</v>
      </c>
      <c r="R78" s="54" t="str">
        <f aca="false">IF(I78="IN STOCK","",Settings!$B$7+K78)</f>
        <v/>
      </c>
      <c r="S78" s="48" t="str">
        <f aca="false">IF(N78="CRITICAL","Order immediately - stock-out before delivery",IF(N78="HIGH","Raise purchase order today",IF(N78="MEDIUM","Plan reorder this week","No action required")))</f>
        <v>No action required</v>
      </c>
      <c r="T78" s="55" t="n">
        <f aca="false">IF(I78="IN STOCK",0,IF(N78="CRITICAL",30,IF(N78="HIGH",20,10))+IF(G78&gt;0,(G78-F78)/G78,0)+ROW()/10000000)</f>
        <v>0</v>
      </c>
      <c r="U78" s="56" t="str">
        <f aca="false">IF(T78&gt;0,SUMPRODUCT(--($T$5:$T$104&gt;T78))+1,"")</f>
        <v/>
      </c>
    </row>
    <row r="79" customFormat="false" ht="15" hidden="false" customHeight="false" outlineLevel="0" collapsed="false">
      <c r="A79" s="43" t="n">
        <v>45292</v>
      </c>
      <c r="B79" s="44" t="s">
        <v>56</v>
      </c>
      <c r="C79" s="44" t="s">
        <v>114</v>
      </c>
      <c r="D79" s="44" t="s">
        <v>59</v>
      </c>
      <c r="E79" s="44" t="s">
        <v>70</v>
      </c>
      <c r="F79" s="45" t="n">
        <v>56</v>
      </c>
      <c r="G79" s="45" t="n">
        <v>-1</v>
      </c>
      <c r="H79" s="46" t="n">
        <v>34.9</v>
      </c>
      <c r="I79" s="47" t="str">
        <f aca="false">IF(F79&lt;=G79,"REORDER NOW",IF(F79&lt;=G79*(1+Settings!$B$5),"LOW STOCK","IN STOCK"))</f>
        <v>IN STOCK</v>
      </c>
      <c r="J79" s="48" t="str">
        <f aca="false">IFERROR(INDEX(Suppliers!$B$5:$B$9,MATCH(D79,Suppliers!$C$5:$C$9,0)),"Unassigned")</f>
        <v>PlayWorld Distributors</v>
      </c>
      <c r="K79" s="49" t="n">
        <f aca="false">IFERROR(INDEX(Suppliers!$D$5:$D$9,MATCH(D79,Suppliers!$C$5:$C$9,0)),0)</f>
        <v>5</v>
      </c>
      <c r="L79" s="50" t="n">
        <v>0.5</v>
      </c>
      <c r="M79" s="51" t="n">
        <f aca="false">IF(L79&gt;0,ROUND(F79/L79,1),"")</f>
        <v>112</v>
      </c>
      <c r="N79" s="52" t="str">
        <f aca="false">IF(I79="IN STOCK","-",IF(AND(M79&lt;&gt;"",M79&lt;K79),"CRITICAL",IF(I79="REORDER NOW","HIGH","MEDIUM")))</f>
        <v>-</v>
      </c>
      <c r="O79" s="49" t="n">
        <f aca="false">IF(I79="IN STOCK",0,MAX(0,ROUNDUP(G79*Settings!$B$6,0)-F79))</f>
        <v>0</v>
      </c>
      <c r="P79" s="53" t="n">
        <f aca="false">F79*H79</f>
        <v>1954.4</v>
      </c>
      <c r="Q79" s="53" t="n">
        <f aca="false">O79*H79</f>
        <v>0</v>
      </c>
      <c r="R79" s="54" t="str">
        <f aca="false">IF(I79="IN STOCK","",Settings!$B$7+K79)</f>
        <v/>
      </c>
      <c r="S79" s="48" t="str">
        <f aca="false">IF(N79="CRITICAL","Order immediately - stock-out before delivery",IF(N79="HIGH","Raise purchase order today",IF(N79="MEDIUM","Plan reorder this week","No action required")))</f>
        <v>No action required</v>
      </c>
      <c r="T79" s="55" t="n">
        <f aca="false">IF(I79="IN STOCK",0,IF(N79="CRITICAL",30,IF(N79="HIGH",20,10))+IF(G79&gt;0,(G79-F79)/G79,0)+ROW()/10000000)</f>
        <v>0</v>
      </c>
      <c r="U79" s="56" t="str">
        <f aca="false">IF(T79&gt;0,SUMPRODUCT(--($T$5:$T$104&gt;T79))+1,"")</f>
        <v/>
      </c>
    </row>
    <row r="80" customFormat="false" ht="15" hidden="false" customHeight="false" outlineLevel="0" collapsed="false">
      <c r="A80" s="43" t="n">
        <v>45292</v>
      </c>
      <c r="B80" s="44" t="s">
        <v>56</v>
      </c>
      <c r="C80" s="44" t="s">
        <v>115</v>
      </c>
      <c r="D80" s="44" t="s">
        <v>51</v>
      </c>
      <c r="E80" s="44" t="s">
        <v>74</v>
      </c>
      <c r="F80" s="45" t="n">
        <v>314</v>
      </c>
      <c r="G80" s="45" t="n">
        <v>193</v>
      </c>
      <c r="H80" s="46" t="n">
        <v>19.12</v>
      </c>
      <c r="I80" s="47" t="str">
        <f aca="false">IF(F80&lt;=G80,"REORDER NOW",IF(F80&lt;=G80*(1+Settings!$B$5),"LOW STOCK","IN STOCK"))</f>
        <v>IN STOCK</v>
      </c>
      <c r="J80" s="48" t="str">
        <f aca="false">IFERROR(INDEX(Suppliers!$B$5:$B$9,MATCH(D80,Suppliers!$C$5:$C$9,0)),"Unassigned")</f>
        <v>StyleHub Wholesale</v>
      </c>
      <c r="K80" s="49" t="n">
        <f aca="false">IFERROR(INDEX(Suppliers!$D$5:$D$9,MATCH(D80,Suppliers!$C$5:$C$9,0)),0)</f>
        <v>6</v>
      </c>
      <c r="L80" s="50" t="n">
        <v>30.2</v>
      </c>
      <c r="M80" s="51" t="n">
        <f aca="false">IF(L80&gt;0,ROUND(F80/L80,1),"")</f>
        <v>10.4</v>
      </c>
      <c r="N80" s="52" t="str">
        <f aca="false">IF(I80="IN STOCK","-",IF(AND(M80&lt;&gt;"",M80&lt;K80),"CRITICAL",IF(I80="REORDER NOW","HIGH","MEDIUM")))</f>
        <v>-</v>
      </c>
      <c r="O80" s="49" t="n">
        <f aca="false">IF(I80="IN STOCK",0,MAX(0,ROUNDUP(G80*Settings!$B$6,0)-F80))</f>
        <v>0</v>
      </c>
      <c r="P80" s="53" t="n">
        <f aca="false">F80*H80</f>
        <v>6003.68</v>
      </c>
      <c r="Q80" s="53" t="n">
        <f aca="false">O80*H80</f>
        <v>0</v>
      </c>
      <c r="R80" s="54" t="str">
        <f aca="false">IF(I80="IN STOCK","",Settings!$B$7+K80)</f>
        <v/>
      </c>
      <c r="S80" s="48" t="str">
        <f aca="false">IF(N80="CRITICAL","Order immediately - stock-out before delivery",IF(N80="HIGH","Raise purchase order today",IF(N80="MEDIUM","Plan reorder this week","No action required")))</f>
        <v>No action required</v>
      </c>
      <c r="T80" s="55" t="n">
        <f aca="false">IF(I80="IN STOCK",0,IF(N80="CRITICAL",30,IF(N80="HIGH",20,10))+IF(G80&gt;0,(G80-F80)/G80,0)+ROW()/10000000)</f>
        <v>0</v>
      </c>
      <c r="U80" s="56" t="str">
        <f aca="false">IF(T80&gt;0,SUMPRODUCT(--($T$5:$T$104&gt;T80))+1,"")</f>
        <v/>
      </c>
    </row>
    <row r="81" customFormat="false" ht="15" hidden="false" customHeight="false" outlineLevel="0" collapsed="false">
      <c r="A81" s="43" t="n">
        <v>45292</v>
      </c>
      <c r="B81" s="44" t="s">
        <v>56</v>
      </c>
      <c r="C81" s="44" t="s">
        <v>116</v>
      </c>
      <c r="D81" s="44" t="s">
        <v>53</v>
      </c>
      <c r="E81" s="44" t="s">
        <v>70</v>
      </c>
      <c r="F81" s="45" t="n">
        <v>100</v>
      </c>
      <c r="G81" s="45" t="n">
        <v>20</v>
      </c>
      <c r="H81" s="46" t="n">
        <v>20.61</v>
      </c>
      <c r="I81" s="47" t="str">
        <f aca="false">IF(F81&lt;=G81,"REORDER NOW",IF(F81&lt;=G81*(1+Settings!$B$5),"LOW STOCK","IN STOCK"))</f>
        <v>IN STOCK</v>
      </c>
      <c r="J81" s="48" t="str">
        <f aca="false">IFERROR(INDEX(Suppliers!$B$5:$B$9,MATCH(D81,Suppliers!$C$5:$C$9,0)),"Unassigned")</f>
        <v>TechSource India</v>
      </c>
      <c r="K81" s="49" t="n">
        <f aca="false">IFERROR(INDEX(Suppliers!$D$5:$D$9,MATCH(D81,Suppliers!$C$5:$C$9,0)),0)</f>
        <v>7</v>
      </c>
      <c r="L81" s="50" t="n">
        <v>3.6</v>
      </c>
      <c r="M81" s="51" t="n">
        <f aca="false">IF(L81&gt;0,ROUND(F81/L81,1),"")</f>
        <v>27.8</v>
      </c>
      <c r="N81" s="52" t="str">
        <f aca="false">IF(I81="IN STOCK","-",IF(AND(M81&lt;&gt;"",M81&lt;K81),"CRITICAL",IF(I81="REORDER NOW","HIGH","MEDIUM")))</f>
        <v>-</v>
      </c>
      <c r="O81" s="49" t="n">
        <f aca="false">IF(I81="IN STOCK",0,MAX(0,ROUNDUP(G81*Settings!$B$6,0)-F81))</f>
        <v>0</v>
      </c>
      <c r="P81" s="53" t="n">
        <f aca="false">F81*H81</f>
        <v>2061</v>
      </c>
      <c r="Q81" s="53" t="n">
        <f aca="false">O81*H81</f>
        <v>0</v>
      </c>
      <c r="R81" s="54" t="str">
        <f aca="false">IF(I81="IN STOCK","",Settings!$B$7+K81)</f>
        <v/>
      </c>
      <c r="S81" s="48" t="str">
        <f aca="false">IF(N81="CRITICAL","Order immediately - stock-out before delivery",IF(N81="HIGH","Raise purchase order today",IF(N81="MEDIUM","Plan reorder this week","No action required")))</f>
        <v>No action required</v>
      </c>
      <c r="T81" s="55" t="n">
        <f aca="false">IF(I81="IN STOCK",0,IF(N81="CRITICAL",30,IF(N81="HIGH",20,10))+IF(G81&gt;0,(G81-F81)/G81,0)+ROW()/10000000)</f>
        <v>0</v>
      </c>
      <c r="U81" s="56" t="str">
        <f aca="false">IF(T81&gt;0,SUMPRODUCT(--($T$5:$T$104&gt;T81))+1,"")</f>
        <v/>
      </c>
    </row>
    <row r="82" customFormat="false" ht="15" hidden="false" customHeight="false" outlineLevel="0" collapsed="false">
      <c r="A82" s="43" t="n">
        <v>45292</v>
      </c>
      <c r="B82" s="44" t="s">
        <v>56</v>
      </c>
      <c r="C82" s="44" t="s">
        <v>117</v>
      </c>
      <c r="D82" s="44" t="s">
        <v>59</v>
      </c>
      <c r="E82" s="44" t="s">
        <v>70</v>
      </c>
      <c r="F82" s="45" t="n">
        <v>83</v>
      </c>
      <c r="G82" s="45" t="n">
        <v>7</v>
      </c>
      <c r="H82" s="46" t="n">
        <v>82.97</v>
      </c>
      <c r="I82" s="47" t="str">
        <f aca="false">IF(F82&lt;=G82,"REORDER NOW",IF(F82&lt;=G82*(1+Settings!$B$5),"LOW STOCK","IN STOCK"))</f>
        <v>IN STOCK</v>
      </c>
      <c r="J82" s="48" t="str">
        <f aca="false">IFERROR(INDEX(Suppliers!$B$5:$B$9,MATCH(D82,Suppliers!$C$5:$C$9,0)),"Unassigned")</f>
        <v>PlayWorld Distributors</v>
      </c>
      <c r="K82" s="49" t="n">
        <f aca="false">IFERROR(INDEX(Suppliers!$D$5:$D$9,MATCH(D82,Suppliers!$C$5:$C$9,0)),0)</f>
        <v>5</v>
      </c>
      <c r="L82" s="50" t="n">
        <v>1.4</v>
      </c>
      <c r="M82" s="51" t="n">
        <f aca="false">IF(L82&gt;0,ROUND(F82/L82,1),"")</f>
        <v>59.3</v>
      </c>
      <c r="N82" s="52" t="str">
        <f aca="false">IF(I82="IN STOCK","-",IF(AND(M82&lt;&gt;"",M82&lt;K82),"CRITICAL",IF(I82="REORDER NOW","HIGH","MEDIUM")))</f>
        <v>-</v>
      </c>
      <c r="O82" s="49" t="n">
        <f aca="false">IF(I82="IN STOCK",0,MAX(0,ROUNDUP(G82*Settings!$B$6,0)-F82))</f>
        <v>0</v>
      </c>
      <c r="P82" s="53" t="n">
        <f aca="false">F82*H82</f>
        <v>6886.51</v>
      </c>
      <c r="Q82" s="53" t="n">
        <f aca="false">O82*H82</f>
        <v>0</v>
      </c>
      <c r="R82" s="54" t="str">
        <f aca="false">IF(I82="IN STOCK","",Settings!$B$7+K82)</f>
        <v/>
      </c>
      <c r="S82" s="48" t="str">
        <f aca="false">IF(N82="CRITICAL","Order immediately - stock-out before delivery",IF(N82="HIGH","Raise purchase order today",IF(N82="MEDIUM","Plan reorder this week","No action required")))</f>
        <v>No action required</v>
      </c>
      <c r="T82" s="55" t="n">
        <f aca="false">IF(I82="IN STOCK",0,IF(N82="CRITICAL",30,IF(N82="HIGH",20,10))+IF(G82&gt;0,(G82-F82)/G82,0)+ROW()/10000000)</f>
        <v>0</v>
      </c>
      <c r="U82" s="56" t="str">
        <f aca="false">IF(T82&gt;0,SUMPRODUCT(--($T$5:$T$104&gt;T82))+1,"")</f>
        <v/>
      </c>
    </row>
    <row r="83" customFormat="false" ht="15" hidden="false" customHeight="false" outlineLevel="0" collapsed="false">
      <c r="A83" s="43" t="n">
        <v>45292</v>
      </c>
      <c r="B83" s="44" t="s">
        <v>56</v>
      </c>
      <c r="C83" s="44" t="s">
        <v>118</v>
      </c>
      <c r="D83" s="44" t="s">
        <v>51</v>
      </c>
      <c r="E83" s="44" t="s">
        <v>68</v>
      </c>
      <c r="F83" s="45" t="n">
        <v>65</v>
      </c>
      <c r="G83" s="45" t="n">
        <v>43</v>
      </c>
      <c r="H83" s="46" t="n">
        <v>61.04</v>
      </c>
      <c r="I83" s="47" t="str">
        <f aca="false">IF(F83&lt;=G83,"REORDER NOW",IF(F83&lt;=G83*(1+Settings!$B$5),"LOW STOCK","IN STOCK"))</f>
        <v>IN STOCK</v>
      </c>
      <c r="J83" s="48" t="str">
        <f aca="false">IFERROR(INDEX(Suppliers!$B$5:$B$9,MATCH(D83,Suppliers!$C$5:$C$9,0)),"Unassigned")</f>
        <v>StyleHub Wholesale</v>
      </c>
      <c r="K83" s="49" t="n">
        <f aca="false">IFERROR(INDEX(Suppliers!$D$5:$D$9,MATCH(D83,Suppliers!$C$5:$C$9,0)),0)</f>
        <v>6</v>
      </c>
      <c r="L83" s="50" t="n">
        <v>6.2</v>
      </c>
      <c r="M83" s="51" t="n">
        <f aca="false">IF(L83&gt;0,ROUND(F83/L83,1),"")</f>
        <v>10.5</v>
      </c>
      <c r="N83" s="52" t="str">
        <f aca="false">IF(I83="IN STOCK","-",IF(AND(M83&lt;&gt;"",M83&lt;K83),"CRITICAL",IF(I83="REORDER NOW","HIGH","MEDIUM")))</f>
        <v>-</v>
      </c>
      <c r="O83" s="49" t="n">
        <f aca="false">IF(I83="IN STOCK",0,MAX(0,ROUNDUP(G83*Settings!$B$6,0)-F83))</f>
        <v>0</v>
      </c>
      <c r="P83" s="53" t="n">
        <f aca="false">F83*H83</f>
        <v>3967.6</v>
      </c>
      <c r="Q83" s="53" t="n">
        <f aca="false">O83*H83</f>
        <v>0</v>
      </c>
      <c r="R83" s="54" t="str">
        <f aca="false">IF(I83="IN STOCK","",Settings!$B$7+K83)</f>
        <v/>
      </c>
      <c r="S83" s="48" t="str">
        <f aca="false">IF(N83="CRITICAL","Order immediately - stock-out before delivery",IF(N83="HIGH","Raise purchase order today",IF(N83="MEDIUM","Plan reorder this week","No action required")))</f>
        <v>No action required</v>
      </c>
      <c r="T83" s="55" t="n">
        <f aca="false">IF(I83="IN STOCK",0,IF(N83="CRITICAL",30,IF(N83="HIGH",20,10))+IF(G83&gt;0,(G83-F83)/G83,0)+ROW()/10000000)</f>
        <v>0</v>
      </c>
      <c r="U83" s="56" t="str">
        <f aca="false">IF(T83&gt;0,SUMPRODUCT(--($T$5:$T$104&gt;T83))+1,"")</f>
        <v/>
      </c>
    </row>
    <row r="84" customFormat="false" ht="15" hidden="false" customHeight="false" outlineLevel="0" collapsed="false">
      <c r="A84" s="43" t="n">
        <v>45292</v>
      </c>
      <c r="B84" s="44" t="s">
        <v>56</v>
      </c>
      <c r="C84" s="44" t="s">
        <v>119</v>
      </c>
      <c r="D84" s="44" t="s">
        <v>59</v>
      </c>
      <c r="E84" s="44" t="s">
        <v>74</v>
      </c>
      <c r="F84" s="45" t="n">
        <v>249</v>
      </c>
      <c r="G84" s="45" t="n">
        <v>248</v>
      </c>
      <c r="H84" s="46" t="n">
        <v>32.87</v>
      </c>
      <c r="I84" s="47" t="str">
        <f aca="false">IF(F84&lt;=G84,"REORDER NOW",IF(F84&lt;=G84*(1+Settings!$B$5),"LOW STOCK","IN STOCK"))</f>
        <v>LOW STOCK</v>
      </c>
      <c r="J84" s="48" t="str">
        <f aca="false">IFERROR(INDEX(Suppliers!$B$5:$B$9,MATCH(D84,Suppliers!$C$5:$C$9,0)),"Unassigned")</f>
        <v>PlayWorld Distributors</v>
      </c>
      <c r="K84" s="49" t="n">
        <f aca="false">IFERROR(INDEX(Suppliers!$D$5:$D$9,MATCH(D84,Suppliers!$C$5:$C$9,0)),0)</f>
        <v>5</v>
      </c>
      <c r="L84" s="50" t="n">
        <v>42.1</v>
      </c>
      <c r="M84" s="51" t="n">
        <f aca="false">IF(L84&gt;0,ROUND(F84/L84,1),"")</f>
        <v>5.9</v>
      </c>
      <c r="N84" s="52" t="str">
        <f aca="false">IF(I84="IN STOCK","-",IF(AND(M84&lt;&gt;"",M84&lt;K84),"CRITICAL",IF(I84="REORDER NOW","HIGH","MEDIUM")))</f>
        <v>MEDIUM</v>
      </c>
      <c r="O84" s="49" t="n">
        <f aca="false">IF(I84="IN STOCK",0,MAX(0,ROUNDUP(G84*Settings!$B$6,0)-F84))</f>
        <v>495</v>
      </c>
      <c r="P84" s="53" t="n">
        <f aca="false">F84*H84</f>
        <v>8184.63</v>
      </c>
      <c r="Q84" s="53" t="n">
        <f aca="false">O84*H84</f>
        <v>16270.65</v>
      </c>
      <c r="R84" s="54" t="n">
        <f aca="false">IF(I84="IN STOCK","",Settings!$B$7+K84)</f>
        <v>45297</v>
      </c>
      <c r="S84" s="48" t="str">
        <f aca="false">IF(N84="CRITICAL","Order immediately - stock-out before delivery",IF(N84="HIGH","Raise purchase order today",IF(N84="MEDIUM","Plan reorder this week","No action required")))</f>
        <v>Plan reorder this week</v>
      </c>
      <c r="T84" s="55" t="n">
        <f aca="false">IF(I84="IN STOCK",0,IF(N84="CRITICAL",30,IF(N84="HIGH",20,10))+IF(G84&gt;0,(G84-F84)/G84,0)+ROW()/10000000)</f>
        <v>9.99597614193548</v>
      </c>
      <c r="U84" s="56" t="n">
        <f aca="false">IF(T84&gt;0,SUMPRODUCT(--($T$5:$T$104&gt;T84))+1,"")</f>
        <v>8</v>
      </c>
    </row>
    <row r="85" customFormat="false" ht="15" hidden="false" customHeight="false" outlineLevel="0" collapsed="false">
      <c r="A85" s="43" t="n">
        <v>45292</v>
      </c>
      <c r="B85" s="44" t="s">
        <v>58</v>
      </c>
      <c r="C85" s="44" t="s">
        <v>100</v>
      </c>
      <c r="D85" s="44" t="s">
        <v>59</v>
      </c>
      <c r="E85" s="44" t="s">
        <v>70</v>
      </c>
      <c r="F85" s="45" t="n">
        <v>300</v>
      </c>
      <c r="G85" s="45" t="n">
        <v>201</v>
      </c>
      <c r="H85" s="46" t="n">
        <v>99.33</v>
      </c>
      <c r="I85" s="47" t="str">
        <f aca="false">IF(F85&lt;=G85,"REORDER NOW",IF(F85&lt;=G85*(1+Settings!$B$5),"LOW STOCK","IN STOCK"))</f>
        <v>IN STOCK</v>
      </c>
      <c r="J85" s="48" t="str">
        <f aca="false">IFERROR(INDEX(Suppliers!$B$5:$B$9,MATCH(D85,Suppliers!$C$5:$C$9,0)),"Unassigned")</f>
        <v>PlayWorld Distributors</v>
      </c>
      <c r="K85" s="49" t="n">
        <f aca="false">IFERROR(INDEX(Suppliers!$D$5:$D$9,MATCH(D85,Suppliers!$C$5:$C$9,0)),0)</f>
        <v>5</v>
      </c>
      <c r="L85" s="50" t="n">
        <v>41.7</v>
      </c>
      <c r="M85" s="51" t="n">
        <f aca="false">IF(L85&gt;0,ROUND(F85/L85,1),"")</f>
        <v>7.2</v>
      </c>
      <c r="N85" s="52" t="str">
        <f aca="false">IF(I85="IN STOCK","-",IF(AND(M85&lt;&gt;"",M85&lt;K85),"CRITICAL",IF(I85="REORDER NOW","HIGH","MEDIUM")))</f>
        <v>-</v>
      </c>
      <c r="O85" s="49" t="n">
        <f aca="false">IF(I85="IN STOCK",0,MAX(0,ROUNDUP(G85*Settings!$B$6,0)-F85))</f>
        <v>0</v>
      </c>
      <c r="P85" s="53" t="n">
        <f aca="false">F85*H85</f>
        <v>29799</v>
      </c>
      <c r="Q85" s="53" t="n">
        <f aca="false">O85*H85</f>
        <v>0</v>
      </c>
      <c r="R85" s="54" t="str">
        <f aca="false">IF(I85="IN STOCK","",Settings!$B$7+K85)</f>
        <v/>
      </c>
      <c r="S85" s="48" t="str">
        <f aca="false">IF(N85="CRITICAL","Order immediately - stock-out before delivery",IF(N85="HIGH","Raise purchase order today",IF(N85="MEDIUM","Plan reorder this week","No action required")))</f>
        <v>No action required</v>
      </c>
      <c r="T85" s="55" t="n">
        <f aca="false">IF(I85="IN STOCK",0,IF(N85="CRITICAL",30,IF(N85="HIGH",20,10))+IF(G85&gt;0,(G85-F85)/G85,0)+ROW()/10000000)</f>
        <v>0</v>
      </c>
      <c r="U85" s="56" t="str">
        <f aca="false">IF(T85&gt;0,SUMPRODUCT(--($T$5:$T$104&gt;T85))+1,"")</f>
        <v/>
      </c>
    </row>
    <row r="86" customFormat="false" ht="15" hidden="false" customHeight="false" outlineLevel="0" collapsed="false">
      <c r="A86" s="43" t="n">
        <v>45292</v>
      </c>
      <c r="B86" s="44" t="s">
        <v>58</v>
      </c>
      <c r="C86" s="44" t="s">
        <v>101</v>
      </c>
      <c r="D86" s="44" t="s">
        <v>57</v>
      </c>
      <c r="E86" s="44" t="s">
        <v>70</v>
      </c>
      <c r="F86" s="45" t="n">
        <v>253</v>
      </c>
      <c r="G86" s="45" t="n">
        <v>105</v>
      </c>
      <c r="H86" s="46" t="n">
        <v>34.96</v>
      </c>
      <c r="I86" s="47" t="str">
        <f aca="false">IF(F86&lt;=G86,"REORDER NOW",IF(F86&lt;=G86*(1+Settings!$B$5),"LOW STOCK","IN STOCK"))</f>
        <v>IN STOCK</v>
      </c>
      <c r="J86" s="48" t="str">
        <f aca="false">IFERROR(INDEX(Suppliers!$B$5:$B$9,MATCH(D86,Suppliers!$C$5:$C$9,0)),"Unassigned")</f>
        <v>FreshLink Traders</v>
      </c>
      <c r="K86" s="49" t="n">
        <f aca="false">IFERROR(INDEX(Suppliers!$D$5:$D$9,MATCH(D86,Suppliers!$C$5:$C$9,0)),0)</f>
        <v>2</v>
      </c>
      <c r="L86" s="50" t="n">
        <v>45</v>
      </c>
      <c r="M86" s="51" t="n">
        <f aca="false">IF(L86&gt;0,ROUND(F86/L86,1),"")</f>
        <v>5.6</v>
      </c>
      <c r="N86" s="52" t="str">
        <f aca="false">IF(I86="IN STOCK","-",IF(AND(M86&lt;&gt;"",M86&lt;K86),"CRITICAL",IF(I86="REORDER NOW","HIGH","MEDIUM")))</f>
        <v>-</v>
      </c>
      <c r="O86" s="49" t="n">
        <f aca="false">IF(I86="IN STOCK",0,MAX(0,ROUNDUP(G86*Settings!$B$6,0)-F86))</f>
        <v>0</v>
      </c>
      <c r="P86" s="53" t="n">
        <f aca="false">F86*H86</f>
        <v>8844.88</v>
      </c>
      <c r="Q86" s="53" t="n">
        <f aca="false">O86*H86</f>
        <v>0</v>
      </c>
      <c r="R86" s="54" t="str">
        <f aca="false">IF(I86="IN STOCK","",Settings!$B$7+K86)</f>
        <v/>
      </c>
      <c r="S86" s="48" t="str">
        <f aca="false">IF(N86="CRITICAL","Order immediately - stock-out before delivery",IF(N86="HIGH","Raise purchase order today",IF(N86="MEDIUM","Plan reorder this week","No action required")))</f>
        <v>No action required</v>
      </c>
      <c r="T86" s="55" t="n">
        <f aca="false">IF(I86="IN STOCK",0,IF(N86="CRITICAL",30,IF(N86="HIGH",20,10))+IF(G86&gt;0,(G86-F86)/G86,0)+ROW()/10000000)</f>
        <v>0</v>
      </c>
      <c r="U86" s="56" t="str">
        <f aca="false">IF(T86&gt;0,SUMPRODUCT(--($T$5:$T$104&gt;T86))+1,"")</f>
        <v/>
      </c>
    </row>
    <row r="87" customFormat="false" ht="15" hidden="false" customHeight="false" outlineLevel="0" collapsed="false">
      <c r="A87" s="43" t="n">
        <v>45292</v>
      </c>
      <c r="B87" s="44" t="s">
        <v>58</v>
      </c>
      <c r="C87" s="44" t="s">
        <v>102</v>
      </c>
      <c r="D87" s="44" t="s">
        <v>55</v>
      </c>
      <c r="E87" s="44" t="s">
        <v>72</v>
      </c>
      <c r="F87" s="45" t="n">
        <v>98</v>
      </c>
      <c r="G87" s="45" t="n">
        <v>106</v>
      </c>
      <c r="H87" s="46" t="n">
        <v>24.17</v>
      </c>
      <c r="I87" s="47" t="str">
        <f aca="false">IF(F87&lt;=G87,"REORDER NOW",IF(F87&lt;=G87*(1+Settings!$B$5),"LOW STOCK","IN STOCK"))</f>
        <v>REORDER NOW</v>
      </c>
      <c r="J87" s="48" t="str">
        <f aca="false">IFERROR(INDEX(Suppliers!$B$5:$B$9,MATCH(D87,Suppliers!$C$5:$C$9,0)),"Unassigned")</f>
        <v>HomeCraft Suppliers</v>
      </c>
      <c r="K87" s="49" t="n">
        <f aca="false">IFERROR(INDEX(Suppliers!$D$5:$D$9,MATCH(D87,Suppliers!$C$5:$C$9,0)),0)</f>
        <v>12</v>
      </c>
      <c r="L87" s="50" t="n">
        <v>9.3</v>
      </c>
      <c r="M87" s="51" t="n">
        <f aca="false">IF(L87&gt;0,ROUND(F87/L87,1),"")</f>
        <v>10.5</v>
      </c>
      <c r="N87" s="52" t="str">
        <f aca="false">IF(I87="IN STOCK","-",IF(AND(M87&lt;&gt;"",M87&lt;K87),"CRITICAL",IF(I87="REORDER NOW","HIGH","MEDIUM")))</f>
        <v>CRITICAL</v>
      </c>
      <c r="O87" s="49" t="n">
        <f aca="false">IF(I87="IN STOCK",0,MAX(0,ROUNDUP(G87*Settings!$B$6,0)-F87))</f>
        <v>220</v>
      </c>
      <c r="P87" s="53" t="n">
        <f aca="false">F87*H87</f>
        <v>2368.66</v>
      </c>
      <c r="Q87" s="53" t="n">
        <f aca="false">O87*H87</f>
        <v>5317.4</v>
      </c>
      <c r="R87" s="54" t="n">
        <f aca="false">IF(I87="IN STOCK","",Settings!$B$7+K87)</f>
        <v>45304</v>
      </c>
      <c r="S87" s="48" t="str">
        <f aca="false">IF(N87="CRITICAL","Order immediately - stock-out before delivery",IF(N87="HIGH","Raise purchase order today",IF(N87="MEDIUM","Plan reorder this week","No action required")))</f>
        <v>Order immediately - stock-out before delivery</v>
      </c>
      <c r="T87" s="55" t="n">
        <f aca="false">IF(I87="IN STOCK",0,IF(N87="CRITICAL",30,IF(N87="HIGH",20,10))+IF(G87&gt;0,(G87-F87)/G87,0)+ROW()/10000000)</f>
        <v>30.0754803981132</v>
      </c>
      <c r="U87" s="56" t="n">
        <f aca="false">IF(T87&gt;0,SUMPRODUCT(--($T$5:$T$104&gt;T87))+1,"")</f>
        <v>1</v>
      </c>
    </row>
    <row r="88" customFormat="false" ht="15" hidden="false" customHeight="false" outlineLevel="0" collapsed="false">
      <c r="A88" s="43" t="n">
        <v>45292</v>
      </c>
      <c r="B88" s="44" t="s">
        <v>58</v>
      </c>
      <c r="C88" s="44" t="s">
        <v>103</v>
      </c>
      <c r="D88" s="44" t="s">
        <v>59</v>
      </c>
      <c r="E88" s="44" t="s">
        <v>70</v>
      </c>
      <c r="F88" s="45" t="n">
        <v>158</v>
      </c>
      <c r="G88" s="45" t="n">
        <v>85</v>
      </c>
      <c r="H88" s="46" t="n">
        <v>77.29</v>
      </c>
      <c r="I88" s="47" t="str">
        <f aca="false">IF(F88&lt;=G88,"REORDER NOW",IF(F88&lt;=G88*(1+Settings!$B$5),"LOW STOCK","IN STOCK"))</f>
        <v>IN STOCK</v>
      </c>
      <c r="J88" s="48" t="str">
        <f aca="false">IFERROR(INDEX(Suppliers!$B$5:$B$9,MATCH(D88,Suppliers!$C$5:$C$9,0)),"Unassigned")</f>
        <v>PlayWorld Distributors</v>
      </c>
      <c r="K88" s="49" t="n">
        <f aca="false">IFERROR(INDEX(Suppliers!$D$5:$D$9,MATCH(D88,Suppliers!$C$5:$C$9,0)),0)</f>
        <v>5</v>
      </c>
      <c r="L88" s="50" t="n">
        <v>21.1</v>
      </c>
      <c r="M88" s="51" t="n">
        <f aca="false">IF(L88&gt;0,ROUND(F88/L88,1),"")</f>
        <v>7.5</v>
      </c>
      <c r="N88" s="52" t="str">
        <f aca="false">IF(I88="IN STOCK","-",IF(AND(M88&lt;&gt;"",M88&lt;K88),"CRITICAL",IF(I88="REORDER NOW","HIGH","MEDIUM")))</f>
        <v>-</v>
      </c>
      <c r="O88" s="49" t="n">
        <f aca="false">IF(I88="IN STOCK",0,MAX(0,ROUNDUP(G88*Settings!$B$6,0)-F88))</f>
        <v>0</v>
      </c>
      <c r="P88" s="53" t="n">
        <f aca="false">F88*H88</f>
        <v>12211.82</v>
      </c>
      <c r="Q88" s="53" t="n">
        <f aca="false">O88*H88</f>
        <v>0</v>
      </c>
      <c r="R88" s="54" t="str">
        <f aca="false">IF(I88="IN STOCK","",Settings!$B$7+K88)</f>
        <v/>
      </c>
      <c r="S88" s="48" t="str">
        <f aca="false">IF(N88="CRITICAL","Order immediately - stock-out before delivery",IF(N88="HIGH","Raise purchase order today",IF(N88="MEDIUM","Plan reorder this week","No action required")))</f>
        <v>No action required</v>
      </c>
      <c r="T88" s="55" t="n">
        <f aca="false">IF(I88="IN STOCK",0,IF(N88="CRITICAL",30,IF(N88="HIGH",20,10))+IF(G88&gt;0,(G88-F88)/G88,0)+ROW()/10000000)</f>
        <v>0</v>
      </c>
      <c r="U88" s="56" t="str">
        <f aca="false">IF(T88&gt;0,SUMPRODUCT(--($T$5:$T$104&gt;T88))+1,"")</f>
        <v/>
      </c>
    </row>
    <row r="89" customFormat="false" ht="15" hidden="false" customHeight="false" outlineLevel="0" collapsed="false">
      <c r="A89" s="43" t="n">
        <v>45292</v>
      </c>
      <c r="B89" s="44" t="s">
        <v>58</v>
      </c>
      <c r="C89" s="44" t="s">
        <v>104</v>
      </c>
      <c r="D89" s="44" t="s">
        <v>59</v>
      </c>
      <c r="E89" s="44" t="s">
        <v>72</v>
      </c>
      <c r="F89" s="45" t="n">
        <v>372</v>
      </c>
      <c r="G89" s="45" t="n">
        <v>151</v>
      </c>
      <c r="H89" s="46" t="n">
        <v>96.72</v>
      </c>
      <c r="I89" s="47" t="str">
        <f aca="false">IF(F89&lt;=G89,"REORDER NOW",IF(F89&lt;=G89*(1+Settings!$B$5),"LOW STOCK","IN STOCK"))</f>
        <v>IN STOCK</v>
      </c>
      <c r="J89" s="48" t="str">
        <f aca="false">IFERROR(INDEX(Suppliers!$B$5:$B$9,MATCH(D89,Suppliers!$C$5:$C$9,0)),"Unassigned")</f>
        <v>PlayWorld Distributors</v>
      </c>
      <c r="K89" s="49" t="n">
        <f aca="false">IFERROR(INDEX(Suppliers!$D$5:$D$9,MATCH(D89,Suppliers!$C$5:$C$9,0)),0)</f>
        <v>5</v>
      </c>
      <c r="L89" s="50" t="n">
        <v>28.4</v>
      </c>
      <c r="M89" s="51" t="n">
        <f aca="false">IF(L89&gt;0,ROUND(F89/L89,1),"")</f>
        <v>13.1</v>
      </c>
      <c r="N89" s="52" t="str">
        <f aca="false">IF(I89="IN STOCK","-",IF(AND(M89&lt;&gt;"",M89&lt;K89),"CRITICAL",IF(I89="REORDER NOW","HIGH","MEDIUM")))</f>
        <v>-</v>
      </c>
      <c r="O89" s="49" t="n">
        <f aca="false">IF(I89="IN STOCK",0,MAX(0,ROUNDUP(G89*Settings!$B$6,0)-F89))</f>
        <v>0</v>
      </c>
      <c r="P89" s="53" t="n">
        <f aca="false">F89*H89</f>
        <v>35979.84</v>
      </c>
      <c r="Q89" s="53" t="n">
        <f aca="false">O89*H89</f>
        <v>0</v>
      </c>
      <c r="R89" s="54" t="str">
        <f aca="false">IF(I89="IN STOCK","",Settings!$B$7+K89)</f>
        <v/>
      </c>
      <c r="S89" s="48" t="str">
        <f aca="false">IF(N89="CRITICAL","Order immediately - stock-out before delivery",IF(N89="HIGH","Raise purchase order today",IF(N89="MEDIUM","Plan reorder this week","No action required")))</f>
        <v>No action required</v>
      </c>
      <c r="T89" s="55" t="n">
        <f aca="false">IF(I89="IN STOCK",0,IF(N89="CRITICAL",30,IF(N89="HIGH",20,10))+IF(G89&gt;0,(G89-F89)/G89,0)+ROW()/10000000)</f>
        <v>0</v>
      </c>
      <c r="U89" s="56" t="str">
        <f aca="false">IF(T89&gt;0,SUMPRODUCT(--($T$5:$T$104&gt;T89))+1,"")</f>
        <v/>
      </c>
    </row>
    <row r="90" customFormat="false" ht="15" hidden="false" customHeight="false" outlineLevel="0" collapsed="false">
      <c r="A90" s="43" t="n">
        <v>45292</v>
      </c>
      <c r="B90" s="44" t="s">
        <v>58</v>
      </c>
      <c r="C90" s="44" t="s">
        <v>105</v>
      </c>
      <c r="D90" s="44" t="s">
        <v>55</v>
      </c>
      <c r="E90" s="44" t="s">
        <v>70</v>
      </c>
      <c r="F90" s="45" t="n">
        <v>491</v>
      </c>
      <c r="G90" s="45" t="n">
        <v>175</v>
      </c>
      <c r="H90" s="46" t="n">
        <v>71.3</v>
      </c>
      <c r="I90" s="47" t="str">
        <f aca="false">IF(F90&lt;=G90,"REORDER NOW",IF(F90&lt;=G90*(1+Settings!$B$5),"LOW STOCK","IN STOCK"))</f>
        <v>IN STOCK</v>
      </c>
      <c r="J90" s="48" t="str">
        <f aca="false">IFERROR(INDEX(Suppliers!$B$5:$B$9,MATCH(D90,Suppliers!$C$5:$C$9,0)),"Unassigned")</f>
        <v>HomeCraft Suppliers</v>
      </c>
      <c r="K90" s="49" t="n">
        <f aca="false">IFERROR(INDEX(Suppliers!$D$5:$D$9,MATCH(D90,Suppliers!$C$5:$C$9,0)),0)</f>
        <v>12</v>
      </c>
      <c r="L90" s="50" t="n">
        <v>12.1</v>
      </c>
      <c r="M90" s="51" t="n">
        <f aca="false">IF(L90&gt;0,ROUND(F90/L90,1),"")</f>
        <v>40.6</v>
      </c>
      <c r="N90" s="52" t="str">
        <f aca="false">IF(I90="IN STOCK","-",IF(AND(M90&lt;&gt;"",M90&lt;K90),"CRITICAL",IF(I90="REORDER NOW","HIGH","MEDIUM")))</f>
        <v>-</v>
      </c>
      <c r="O90" s="49" t="n">
        <f aca="false">IF(I90="IN STOCK",0,MAX(0,ROUNDUP(G90*Settings!$B$6,0)-F90))</f>
        <v>0</v>
      </c>
      <c r="P90" s="53" t="n">
        <f aca="false">F90*H90</f>
        <v>35008.3</v>
      </c>
      <c r="Q90" s="53" t="n">
        <f aca="false">O90*H90</f>
        <v>0</v>
      </c>
      <c r="R90" s="54" t="str">
        <f aca="false">IF(I90="IN STOCK","",Settings!$B$7+K90)</f>
        <v/>
      </c>
      <c r="S90" s="48" t="str">
        <f aca="false">IF(N90="CRITICAL","Order immediately - stock-out before delivery",IF(N90="HIGH","Raise purchase order today",IF(N90="MEDIUM","Plan reorder this week","No action required")))</f>
        <v>No action required</v>
      </c>
      <c r="T90" s="55" t="n">
        <f aca="false">IF(I90="IN STOCK",0,IF(N90="CRITICAL",30,IF(N90="HIGH",20,10))+IF(G90&gt;0,(G90-F90)/G90,0)+ROW()/10000000)</f>
        <v>0</v>
      </c>
      <c r="U90" s="56" t="str">
        <f aca="false">IF(T90&gt;0,SUMPRODUCT(--($T$5:$T$104&gt;T90))+1,"")</f>
        <v/>
      </c>
    </row>
    <row r="91" customFormat="false" ht="15" hidden="false" customHeight="false" outlineLevel="0" collapsed="false">
      <c r="A91" s="43" t="n">
        <v>45292</v>
      </c>
      <c r="B91" s="44" t="s">
        <v>58</v>
      </c>
      <c r="C91" s="44" t="s">
        <v>106</v>
      </c>
      <c r="D91" s="44" t="s">
        <v>57</v>
      </c>
      <c r="E91" s="44" t="s">
        <v>72</v>
      </c>
      <c r="F91" s="45" t="n">
        <v>59</v>
      </c>
      <c r="G91" s="45" t="n">
        <v>4</v>
      </c>
      <c r="H91" s="46" t="n">
        <v>62.12</v>
      </c>
      <c r="I91" s="47" t="str">
        <f aca="false">IF(F91&lt;=G91,"REORDER NOW",IF(F91&lt;=G91*(1+Settings!$B$5),"LOW STOCK","IN STOCK"))</f>
        <v>IN STOCK</v>
      </c>
      <c r="J91" s="48" t="str">
        <f aca="false">IFERROR(INDEX(Suppliers!$B$5:$B$9,MATCH(D91,Suppliers!$C$5:$C$9,0)),"Unassigned")</f>
        <v>FreshLink Traders</v>
      </c>
      <c r="K91" s="49" t="n">
        <f aca="false">IFERROR(INDEX(Suppliers!$D$5:$D$9,MATCH(D91,Suppliers!$C$5:$C$9,0)),0)</f>
        <v>2</v>
      </c>
      <c r="L91" s="50" t="n">
        <v>2.6</v>
      </c>
      <c r="M91" s="51" t="n">
        <f aca="false">IF(L91&gt;0,ROUND(F91/L91,1),"")</f>
        <v>22.7</v>
      </c>
      <c r="N91" s="52" t="str">
        <f aca="false">IF(I91="IN STOCK","-",IF(AND(M91&lt;&gt;"",M91&lt;K91),"CRITICAL",IF(I91="REORDER NOW","HIGH","MEDIUM")))</f>
        <v>-</v>
      </c>
      <c r="O91" s="49" t="n">
        <f aca="false">IF(I91="IN STOCK",0,MAX(0,ROUNDUP(G91*Settings!$B$6,0)-F91))</f>
        <v>0</v>
      </c>
      <c r="P91" s="53" t="n">
        <f aca="false">F91*H91</f>
        <v>3665.08</v>
      </c>
      <c r="Q91" s="53" t="n">
        <f aca="false">O91*H91</f>
        <v>0</v>
      </c>
      <c r="R91" s="54" t="str">
        <f aca="false">IF(I91="IN STOCK","",Settings!$B$7+K91)</f>
        <v/>
      </c>
      <c r="S91" s="48" t="str">
        <f aca="false">IF(N91="CRITICAL","Order immediately - stock-out before delivery",IF(N91="HIGH","Raise purchase order today",IF(N91="MEDIUM","Plan reorder this week","No action required")))</f>
        <v>No action required</v>
      </c>
      <c r="T91" s="55" t="n">
        <f aca="false">IF(I91="IN STOCK",0,IF(N91="CRITICAL",30,IF(N91="HIGH",20,10))+IF(G91&gt;0,(G91-F91)/G91,0)+ROW()/10000000)</f>
        <v>0</v>
      </c>
      <c r="U91" s="56" t="str">
        <f aca="false">IF(T91&gt;0,SUMPRODUCT(--($T$5:$T$104&gt;T91))+1,"")</f>
        <v/>
      </c>
    </row>
    <row r="92" customFormat="false" ht="15" hidden="false" customHeight="false" outlineLevel="0" collapsed="false">
      <c r="A92" s="43" t="n">
        <v>45292</v>
      </c>
      <c r="B92" s="44" t="s">
        <v>58</v>
      </c>
      <c r="C92" s="44" t="s">
        <v>107</v>
      </c>
      <c r="D92" s="44" t="s">
        <v>53</v>
      </c>
      <c r="E92" s="44" t="s">
        <v>74</v>
      </c>
      <c r="F92" s="45" t="n">
        <v>409</v>
      </c>
      <c r="G92" s="45" t="n">
        <v>287</v>
      </c>
      <c r="H92" s="46" t="n">
        <v>63.42</v>
      </c>
      <c r="I92" s="47" t="str">
        <f aca="false">IF(F92&lt;=G92,"REORDER NOW",IF(F92&lt;=G92*(1+Settings!$B$5),"LOW STOCK","IN STOCK"))</f>
        <v>IN STOCK</v>
      </c>
      <c r="J92" s="48" t="str">
        <f aca="false">IFERROR(INDEX(Suppliers!$B$5:$B$9,MATCH(D92,Suppliers!$C$5:$C$9,0)),"Unassigned")</f>
        <v>TechSource India</v>
      </c>
      <c r="K92" s="49" t="n">
        <f aca="false">IFERROR(INDEX(Suppliers!$D$5:$D$9,MATCH(D92,Suppliers!$C$5:$C$9,0)),0)</f>
        <v>7</v>
      </c>
      <c r="L92" s="50" t="n">
        <v>41.2</v>
      </c>
      <c r="M92" s="51" t="n">
        <f aca="false">IF(L92&gt;0,ROUND(F92/L92,1),"")</f>
        <v>9.9</v>
      </c>
      <c r="N92" s="52" t="str">
        <f aca="false">IF(I92="IN STOCK","-",IF(AND(M92&lt;&gt;"",M92&lt;K92),"CRITICAL",IF(I92="REORDER NOW","HIGH","MEDIUM")))</f>
        <v>-</v>
      </c>
      <c r="O92" s="49" t="n">
        <f aca="false">IF(I92="IN STOCK",0,MAX(0,ROUNDUP(G92*Settings!$B$6,0)-F92))</f>
        <v>0</v>
      </c>
      <c r="P92" s="53" t="n">
        <f aca="false">F92*H92</f>
        <v>25938.78</v>
      </c>
      <c r="Q92" s="53" t="n">
        <f aca="false">O92*H92</f>
        <v>0</v>
      </c>
      <c r="R92" s="54" t="str">
        <f aca="false">IF(I92="IN STOCK","",Settings!$B$7+K92)</f>
        <v/>
      </c>
      <c r="S92" s="48" t="str">
        <f aca="false">IF(N92="CRITICAL","Order immediately - stock-out before delivery",IF(N92="HIGH","Raise purchase order today",IF(N92="MEDIUM","Plan reorder this week","No action required")))</f>
        <v>No action required</v>
      </c>
      <c r="T92" s="55" t="n">
        <f aca="false">IF(I92="IN STOCK",0,IF(N92="CRITICAL",30,IF(N92="HIGH",20,10))+IF(G92&gt;0,(G92-F92)/G92,0)+ROW()/10000000)</f>
        <v>0</v>
      </c>
      <c r="U92" s="56" t="str">
        <f aca="false">IF(T92&gt;0,SUMPRODUCT(--($T$5:$T$104&gt;T92))+1,"")</f>
        <v/>
      </c>
    </row>
    <row r="93" customFormat="false" ht="15" hidden="false" customHeight="false" outlineLevel="0" collapsed="false">
      <c r="A93" s="43" t="n">
        <v>45292</v>
      </c>
      <c r="B93" s="44" t="s">
        <v>58</v>
      </c>
      <c r="C93" s="44" t="s">
        <v>108</v>
      </c>
      <c r="D93" s="44" t="s">
        <v>55</v>
      </c>
      <c r="E93" s="44" t="s">
        <v>70</v>
      </c>
      <c r="F93" s="45" t="n">
        <v>319</v>
      </c>
      <c r="G93" s="45" t="n">
        <v>209</v>
      </c>
      <c r="H93" s="46" t="n">
        <v>87.7</v>
      </c>
      <c r="I93" s="47" t="str">
        <f aca="false">IF(F93&lt;=G93,"REORDER NOW",IF(F93&lt;=G93*(1+Settings!$B$5),"LOW STOCK","IN STOCK"))</f>
        <v>IN STOCK</v>
      </c>
      <c r="J93" s="48" t="str">
        <f aca="false">IFERROR(INDEX(Suppliers!$B$5:$B$9,MATCH(D93,Suppliers!$C$5:$C$9,0)),"Unassigned")</f>
        <v>HomeCraft Suppliers</v>
      </c>
      <c r="K93" s="49" t="n">
        <f aca="false">IFERROR(INDEX(Suppliers!$D$5:$D$9,MATCH(D93,Suppliers!$C$5:$C$9,0)),0)</f>
        <v>12</v>
      </c>
      <c r="L93" s="50" t="n">
        <v>13.1</v>
      </c>
      <c r="M93" s="51" t="n">
        <f aca="false">IF(L93&gt;0,ROUND(F93/L93,1),"")</f>
        <v>24.4</v>
      </c>
      <c r="N93" s="52" t="str">
        <f aca="false">IF(I93="IN STOCK","-",IF(AND(M93&lt;&gt;"",M93&lt;K93),"CRITICAL",IF(I93="REORDER NOW","HIGH","MEDIUM")))</f>
        <v>-</v>
      </c>
      <c r="O93" s="49" t="n">
        <f aca="false">IF(I93="IN STOCK",0,MAX(0,ROUNDUP(G93*Settings!$B$6,0)-F93))</f>
        <v>0</v>
      </c>
      <c r="P93" s="53" t="n">
        <f aca="false">F93*H93</f>
        <v>27976.3</v>
      </c>
      <c r="Q93" s="53" t="n">
        <f aca="false">O93*H93</f>
        <v>0</v>
      </c>
      <c r="R93" s="54" t="str">
        <f aca="false">IF(I93="IN STOCK","",Settings!$B$7+K93)</f>
        <v/>
      </c>
      <c r="S93" s="48" t="str">
        <f aca="false">IF(N93="CRITICAL","Order immediately - stock-out before delivery",IF(N93="HIGH","Raise purchase order today",IF(N93="MEDIUM","Plan reorder this week","No action required")))</f>
        <v>No action required</v>
      </c>
      <c r="T93" s="55" t="n">
        <f aca="false">IF(I93="IN STOCK",0,IF(N93="CRITICAL",30,IF(N93="HIGH",20,10))+IF(G93&gt;0,(G93-F93)/G93,0)+ROW()/10000000)</f>
        <v>0</v>
      </c>
      <c r="U93" s="56" t="str">
        <f aca="false">IF(T93&gt;0,SUMPRODUCT(--($T$5:$T$104&gt;T93))+1,"")</f>
        <v/>
      </c>
    </row>
    <row r="94" customFormat="false" ht="15" hidden="false" customHeight="false" outlineLevel="0" collapsed="false">
      <c r="A94" s="43" t="n">
        <v>45292</v>
      </c>
      <c r="B94" s="44" t="s">
        <v>58</v>
      </c>
      <c r="C94" s="44" t="s">
        <v>109</v>
      </c>
      <c r="D94" s="44" t="s">
        <v>59</v>
      </c>
      <c r="E94" s="44" t="s">
        <v>70</v>
      </c>
      <c r="F94" s="45" t="n">
        <v>308</v>
      </c>
      <c r="G94" s="45" t="n">
        <v>186</v>
      </c>
      <c r="H94" s="46" t="n">
        <v>19.2</v>
      </c>
      <c r="I94" s="47" t="str">
        <f aca="false">IF(F94&lt;=G94,"REORDER NOW",IF(F94&lt;=G94*(1+Settings!$B$5),"LOW STOCK","IN STOCK"))</f>
        <v>IN STOCK</v>
      </c>
      <c r="J94" s="48" t="str">
        <f aca="false">IFERROR(INDEX(Suppliers!$B$5:$B$9,MATCH(D94,Suppliers!$C$5:$C$9,0)),"Unassigned")</f>
        <v>PlayWorld Distributors</v>
      </c>
      <c r="K94" s="49" t="n">
        <f aca="false">IFERROR(INDEX(Suppliers!$D$5:$D$9,MATCH(D94,Suppliers!$C$5:$C$9,0)),0)</f>
        <v>5</v>
      </c>
      <c r="L94" s="50" t="n">
        <v>27.1</v>
      </c>
      <c r="M94" s="51" t="n">
        <f aca="false">IF(L94&gt;0,ROUND(F94/L94,1),"")</f>
        <v>11.4</v>
      </c>
      <c r="N94" s="52" t="str">
        <f aca="false">IF(I94="IN STOCK","-",IF(AND(M94&lt;&gt;"",M94&lt;K94),"CRITICAL",IF(I94="REORDER NOW","HIGH","MEDIUM")))</f>
        <v>-</v>
      </c>
      <c r="O94" s="49" t="n">
        <f aca="false">IF(I94="IN STOCK",0,MAX(0,ROUNDUP(G94*Settings!$B$6,0)-F94))</f>
        <v>0</v>
      </c>
      <c r="P94" s="53" t="n">
        <f aca="false">F94*H94</f>
        <v>5913.6</v>
      </c>
      <c r="Q94" s="53" t="n">
        <f aca="false">O94*H94</f>
        <v>0</v>
      </c>
      <c r="R94" s="54" t="str">
        <f aca="false">IF(I94="IN STOCK","",Settings!$B$7+K94)</f>
        <v/>
      </c>
      <c r="S94" s="48" t="str">
        <f aca="false">IF(N94="CRITICAL","Order immediately - stock-out before delivery",IF(N94="HIGH","Raise purchase order today",IF(N94="MEDIUM","Plan reorder this week","No action required")))</f>
        <v>No action required</v>
      </c>
      <c r="T94" s="55" t="n">
        <f aca="false">IF(I94="IN STOCK",0,IF(N94="CRITICAL",30,IF(N94="HIGH",20,10))+IF(G94&gt;0,(G94-F94)/G94,0)+ROW()/10000000)</f>
        <v>0</v>
      </c>
      <c r="U94" s="56" t="str">
        <f aca="false">IF(T94&gt;0,SUMPRODUCT(--($T$5:$T$104&gt;T94))+1,"")</f>
        <v/>
      </c>
    </row>
    <row r="95" customFormat="false" ht="15" hidden="false" customHeight="false" outlineLevel="0" collapsed="false">
      <c r="A95" s="43" t="n">
        <v>45292</v>
      </c>
      <c r="B95" s="44" t="s">
        <v>58</v>
      </c>
      <c r="C95" s="44" t="s">
        <v>110</v>
      </c>
      <c r="D95" s="44" t="s">
        <v>57</v>
      </c>
      <c r="E95" s="44" t="s">
        <v>70</v>
      </c>
      <c r="F95" s="45" t="n">
        <v>156</v>
      </c>
      <c r="G95" s="45" t="n">
        <v>137</v>
      </c>
      <c r="H95" s="46" t="n">
        <v>86.09</v>
      </c>
      <c r="I95" s="47" t="str">
        <f aca="false">IF(F95&lt;=G95,"REORDER NOW",IF(F95&lt;=G95*(1+Settings!$B$5),"LOW STOCK","IN STOCK"))</f>
        <v>LOW STOCK</v>
      </c>
      <c r="J95" s="48" t="str">
        <f aca="false">IFERROR(INDEX(Suppliers!$B$5:$B$9,MATCH(D95,Suppliers!$C$5:$C$9,0)),"Unassigned")</f>
        <v>FreshLink Traders</v>
      </c>
      <c r="K95" s="49" t="n">
        <f aca="false">IFERROR(INDEX(Suppliers!$D$5:$D$9,MATCH(D95,Suppliers!$C$5:$C$9,0)),0)</f>
        <v>2</v>
      </c>
      <c r="L95" s="50" t="n">
        <v>52.5</v>
      </c>
      <c r="M95" s="51" t="n">
        <f aca="false">IF(L95&gt;0,ROUND(F95/L95,1),"")</f>
        <v>3</v>
      </c>
      <c r="N95" s="52" t="str">
        <f aca="false">IF(I95="IN STOCK","-",IF(AND(M95&lt;&gt;"",M95&lt;K95),"CRITICAL",IF(I95="REORDER NOW","HIGH","MEDIUM")))</f>
        <v>MEDIUM</v>
      </c>
      <c r="O95" s="49" t="n">
        <f aca="false">IF(I95="IN STOCK",0,MAX(0,ROUNDUP(G95*Settings!$B$6,0)-F95))</f>
        <v>255</v>
      </c>
      <c r="P95" s="53" t="n">
        <f aca="false">F95*H95</f>
        <v>13430.04</v>
      </c>
      <c r="Q95" s="53" t="n">
        <f aca="false">O95*H95</f>
        <v>21952.95</v>
      </c>
      <c r="R95" s="54" t="n">
        <f aca="false">IF(I95="IN STOCK","",Settings!$B$7+K95)</f>
        <v>45294</v>
      </c>
      <c r="S95" s="48" t="str">
        <f aca="false">IF(N95="CRITICAL","Order immediately - stock-out before delivery",IF(N95="HIGH","Raise purchase order today",IF(N95="MEDIUM","Plan reorder this week","No action required")))</f>
        <v>Plan reorder this week</v>
      </c>
      <c r="T95" s="55" t="n">
        <f aca="false">IF(I95="IN STOCK",0,IF(N95="CRITICAL",30,IF(N95="HIGH",20,10))+IF(G95&gt;0,(G95-F95)/G95,0)+ROW()/10000000)</f>
        <v>9.86132336861314</v>
      </c>
      <c r="U95" s="56" t="n">
        <f aca="false">IF(T95&gt;0,SUMPRODUCT(--($T$5:$T$104&gt;T95))+1,"")</f>
        <v>13</v>
      </c>
    </row>
    <row r="96" customFormat="false" ht="15" hidden="false" customHeight="false" outlineLevel="0" collapsed="false">
      <c r="A96" s="43" t="n">
        <v>45292</v>
      </c>
      <c r="B96" s="44" t="s">
        <v>58</v>
      </c>
      <c r="C96" s="44" t="s">
        <v>111</v>
      </c>
      <c r="D96" s="44" t="s">
        <v>53</v>
      </c>
      <c r="E96" s="44" t="s">
        <v>70</v>
      </c>
      <c r="F96" s="45" t="n">
        <v>495</v>
      </c>
      <c r="G96" s="45" t="n">
        <v>317</v>
      </c>
      <c r="H96" s="46" t="n">
        <v>36.94</v>
      </c>
      <c r="I96" s="47" t="str">
        <f aca="false">IF(F96&lt;=G96,"REORDER NOW",IF(F96&lt;=G96*(1+Settings!$B$5),"LOW STOCK","IN STOCK"))</f>
        <v>IN STOCK</v>
      </c>
      <c r="J96" s="48" t="str">
        <f aca="false">IFERROR(INDEX(Suppliers!$B$5:$B$9,MATCH(D96,Suppliers!$C$5:$C$9,0)),"Unassigned")</f>
        <v>TechSource India</v>
      </c>
      <c r="K96" s="49" t="n">
        <f aca="false">IFERROR(INDEX(Suppliers!$D$5:$D$9,MATCH(D96,Suppliers!$C$5:$C$9,0)),0)</f>
        <v>7</v>
      </c>
      <c r="L96" s="50" t="n">
        <v>48.7</v>
      </c>
      <c r="M96" s="51" t="n">
        <f aca="false">IF(L96&gt;0,ROUND(F96/L96,1),"")</f>
        <v>10.2</v>
      </c>
      <c r="N96" s="52" t="str">
        <f aca="false">IF(I96="IN STOCK","-",IF(AND(M96&lt;&gt;"",M96&lt;K96),"CRITICAL",IF(I96="REORDER NOW","HIGH","MEDIUM")))</f>
        <v>-</v>
      </c>
      <c r="O96" s="49" t="n">
        <f aca="false">IF(I96="IN STOCK",0,MAX(0,ROUNDUP(G96*Settings!$B$6,0)-F96))</f>
        <v>0</v>
      </c>
      <c r="P96" s="53" t="n">
        <f aca="false">F96*H96</f>
        <v>18285.3</v>
      </c>
      <c r="Q96" s="53" t="n">
        <f aca="false">O96*H96</f>
        <v>0</v>
      </c>
      <c r="R96" s="54" t="str">
        <f aca="false">IF(I96="IN STOCK","",Settings!$B$7+K96)</f>
        <v/>
      </c>
      <c r="S96" s="48" t="str">
        <f aca="false">IF(N96="CRITICAL","Order immediately - stock-out before delivery",IF(N96="HIGH","Raise purchase order today",IF(N96="MEDIUM","Plan reorder this week","No action required")))</f>
        <v>No action required</v>
      </c>
      <c r="T96" s="55" t="n">
        <f aca="false">IF(I96="IN STOCK",0,IF(N96="CRITICAL",30,IF(N96="HIGH",20,10))+IF(G96&gt;0,(G96-F96)/G96,0)+ROW()/10000000)</f>
        <v>0</v>
      </c>
      <c r="U96" s="56" t="str">
        <f aca="false">IF(T96&gt;0,SUMPRODUCT(--($T$5:$T$104&gt;T96))+1,"")</f>
        <v/>
      </c>
    </row>
    <row r="97" customFormat="false" ht="15" hidden="false" customHeight="false" outlineLevel="0" collapsed="false">
      <c r="A97" s="43" t="n">
        <v>45292</v>
      </c>
      <c r="B97" s="44" t="s">
        <v>58</v>
      </c>
      <c r="C97" s="44" t="s">
        <v>112</v>
      </c>
      <c r="D97" s="44" t="s">
        <v>53</v>
      </c>
      <c r="E97" s="44" t="s">
        <v>74</v>
      </c>
      <c r="F97" s="45" t="n">
        <v>389</v>
      </c>
      <c r="G97" s="45" t="n">
        <v>277</v>
      </c>
      <c r="H97" s="46" t="n">
        <v>32.05</v>
      </c>
      <c r="I97" s="47" t="str">
        <f aca="false">IF(F97&lt;=G97,"REORDER NOW",IF(F97&lt;=G97*(1+Settings!$B$5),"LOW STOCK","IN STOCK"))</f>
        <v>IN STOCK</v>
      </c>
      <c r="J97" s="48" t="str">
        <f aca="false">IFERROR(INDEX(Suppliers!$B$5:$B$9,MATCH(D97,Suppliers!$C$5:$C$9,0)),"Unassigned")</f>
        <v>TechSource India</v>
      </c>
      <c r="K97" s="49" t="n">
        <f aca="false">IFERROR(INDEX(Suppliers!$D$5:$D$9,MATCH(D97,Suppliers!$C$5:$C$9,0)),0)</f>
        <v>7</v>
      </c>
      <c r="L97" s="50" t="n">
        <v>46.5</v>
      </c>
      <c r="M97" s="51" t="n">
        <f aca="false">IF(L97&gt;0,ROUND(F97/L97,1),"")</f>
        <v>8.4</v>
      </c>
      <c r="N97" s="52" t="str">
        <f aca="false">IF(I97="IN STOCK","-",IF(AND(M97&lt;&gt;"",M97&lt;K97),"CRITICAL",IF(I97="REORDER NOW","HIGH","MEDIUM")))</f>
        <v>-</v>
      </c>
      <c r="O97" s="49" t="n">
        <f aca="false">IF(I97="IN STOCK",0,MAX(0,ROUNDUP(G97*Settings!$B$6,0)-F97))</f>
        <v>0</v>
      </c>
      <c r="P97" s="53" t="n">
        <f aca="false">F97*H97</f>
        <v>12467.45</v>
      </c>
      <c r="Q97" s="53" t="n">
        <f aca="false">O97*H97</f>
        <v>0</v>
      </c>
      <c r="R97" s="54" t="str">
        <f aca="false">IF(I97="IN STOCK","",Settings!$B$7+K97)</f>
        <v/>
      </c>
      <c r="S97" s="48" t="str">
        <f aca="false">IF(N97="CRITICAL","Order immediately - stock-out before delivery",IF(N97="HIGH","Raise purchase order today",IF(N97="MEDIUM","Plan reorder this week","No action required")))</f>
        <v>No action required</v>
      </c>
      <c r="T97" s="55" t="n">
        <f aca="false">IF(I97="IN STOCK",0,IF(N97="CRITICAL",30,IF(N97="HIGH",20,10))+IF(G97&gt;0,(G97-F97)/G97,0)+ROW()/10000000)</f>
        <v>0</v>
      </c>
      <c r="U97" s="56" t="str">
        <f aca="false">IF(T97&gt;0,SUMPRODUCT(--($T$5:$T$104&gt;T97))+1,"")</f>
        <v/>
      </c>
    </row>
    <row r="98" customFormat="false" ht="15" hidden="false" customHeight="false" outlineLevel="0" collapsed="false">
      <c r="A98" s="43" t="n">
        <v>45292</v>
      </c>
      <c r="B98" s="44" t="s">
        <v>58</v>
      </c>
      <c r="C98" s="44" t="s">
        <v>113</v>
      </c>
      <c r="D98" s="44" t="s">
        <v>59</v>
      </c>
      <c r="E98" s="44" t="s">
        <v>74</v>
      </c>
      <c r="F98" s="45" t="n">
        <v>328</v>
      </c>
      <c r="G98" s="45" t="n">
        <v>184</v>
      </c>
      <c r="H98" s="46" t="n">
        <v>66.5</v>
      </c>
      <c r="I98" s="47" t="str">
        <f aca="false">IF(F98&lt;=G98,"REORDER NOW",IF(F98&lt;=G98*(1+Settings!$B$5),"LOW STOCK","IN STOCK"))</f>
        <v>IN STOCK</v>
      </c>
      <c r="J98" s="48" t="str">
        <f aca="false">IFERROR(INDEX(Suppliers!$B$5:$B$9,MATCH(D98,Suppliers!$C$5:$C$9,0)),"Unassigned")</f>
        <v>PlayWorld Distributors</v>
      </c>
      <c r="K98" s="49" t="n">
        <f aca="false">IFERROR(INDEX(Suppliers!$D$5:$D$9,MATCH(D98,Suppliers!$C$5:$C$9,0)),0)</f>
        <v>5</v>
      </c>
      <c r="L98" s="50" t="n">
        <v>35.1</v>
      </c>
      <c r="M98" s="51" t="n">
        <f aca="false">IF(L98&gt;0,ROUND(F98/L98,1),"")</f>
        <v>9.3</v>
      </c>
      <c r="N98" s="52" t="str">
        <f aca="false">IF(I98="IN STOCK","-",IF(AND(M98&lt;&gt;"",M98&lt;K98),"CRITICAL",IF(I98="REORDER NOW","HIGH","MEDIUM")))</f>
        <v>-</v>
      </c>
      <c r="O98" s="49" t="n">
        <f aca="false">IF(I98="IN STOCK",0,MAX(0,ROUNDUP(G98*Settings!$B$6,0)-F98))</f>
        <v>0</v>
      </c>
      <c r="P98" s="53" t="n">
        <f aca="false">F98*H98</f>
        <v>21812</v>
      </c>
      <c r="Q98" s="53" t="n">
        <f aca="false">O98*H98</f>
        <v>0</v>
      </c>
      <c r="R98" s="54" t="str">
        <f aca="false">IF(I98="IN STOCK","",Settings!$B$7+K98)</f>
        <v/>
      </c>
      <c r="S98" s="48" t="str">
        <f aca="false">IF(N98="CRITICAL","Order immediately - stock-out before delivery",IF(N98="HIGH","Raise purchase order today",IF(N98="MEDIUM","Plan reorder this week","No action required")))</f>
        <v>No action required</v>
      </c>
      <c r="T98" s="55" t="n">
        <f aca="false">IF(I98="IN STOCK",0,IF(N98="CRITICAL",30,IF(N98="HIGH",20,10))+IF(G98&gt;0,(G98-F98)/G98,0)+ROW()/10000000)</f>
        <v>0</v>
      </c>
      <c r="U98" s="56" t="str">
        <f aca="false">IF(T98&gt;0,SUMPRODUCT(--($T$5:$T$104&gt;T98))+1,"")</f>
        <v/>
      </c>
    </row>
    <row r="99" customFormat="false" ht="15" hidden="false" customHeight="false" outlineLevel="0" collapsed="false">
      <c r="A99" s="43" t="n">
        <v>45292</v>
      </c>
      <c r="B99" s="44" t="s">
        <v>58</v>
      </c>
      <c r="C99" s="44" t="s">
        <v>114</v>
      </c>
      <c r="D99" s="44" t="s">
        <v>55</v>
      </c>
      <c r="E99" s="44" t="s">
        <v>70</v>
      </c>
      <c r="F99" s="45" t="n">
        <v>408</v>
      </c>
      <c r="G99" s="45" t="n">
        <v>337</v>
      </c>
      <c r="H99" s="46" t="n">
        <v>83.26</v>
      </c>
      <c r="I99" s="47" t="str">
        <f aca="false">IF(F99&lt;=G99,"REORDER NOW",IF(F99&lt;=G99*(1+Settings!$B$5),"LOW STOCK","IN STOCK"))</f>
        <v>LOW STOCK</v>
      </c>
      <c r="J99" s="48" t="str">
        <f aca="false">IFERROR(INDEX(Suppliers!$B$5:$B$9,MATCH(D99,Suppliers!$C$5:$C$9,0)),"Unassigned")</f>
        <v>HomeCraft Suppliers</v>
      </c>
      <c r="K99" s="49" t="n">
        <f aca="false">IFERROR(INDEX(Suppliers!$D$5:$D$9,MATCH(D99,Suppliers!$C$5:$C$9,0)),0)</f>
        <v>12</v>
      </c>
      <c r="L99" s="50" t="n">
        <v>20.7</v>
      </c>
      <c r="M99" s="51" t="n">
        <f aca="false">IF(L99&gt;0,ROUND(F99/L99,1),"")</f>
        <v>19.7</v>
      </c>
      <c r="N99" s="52" t="str">
        <f aca="false">IF(I99="IN STOCK","-",IF(AND(M99&lt;&gt;"",M99&lt;K99),"CRITICAL",IF(I99="REORDER NOW","HIGH","MEDIUM")))</f>
        <v>MEDIUM</v>
      </c>
      <c r="O99" s="49" t="n">
        <f aca="false">IF(I99="IN STOCK",0,MAX(0,ROUNDUP(G99*Settings!$B$6,0)-F99))</f>
        <v>603</v>
      </c>
      <c r="P99" s="53" t="n">
        <f aca="false">F99*H99</f>
        <v>33970.08</v>
      </c>
      <c r="Q99" s="53" t="n">
        <f aca="false">O99*H99</f>
        <v>50205.78</v>
      </c>
      <c r="R99" s="54" t="n">
        <f aca="false">IF(I99="IN STOCK","",Settings!$B$7+K99)</f>
        <v>45304</v>
      </c>
      <c r="S99" s="48" t="str">
        <f aca="false">IF(N99="CRITICAL","Order immediately - stock-out before delivery",IF(N99="HIGH","Raise purchase order today",IF(N99="MEDIUM","Plan reorder this week","No action required")))</f>
        <v>Plan reorder this week</v>
      </c>
      <c r="T99" s="55" t="n">
        <f aca="false">IF(I99="IN STOCK",0,IF(N99="CRITICAL",30,IF(N99="HIGH",20,10))+IF(G99&gt;0,(G99-F99)/G99,0)+ROW()/10000000)</f>
        <v>9.7893274074184</v>
      </c>
      <c r="U99" s="56" t="n">
        <f aca="false">IF(T99&gt;0,SUMPRODUCT(--($T$5:$T$104&gt;T99))+1,"")</f>
        <v>17</v>
      </c>
    </row>
    <row r="100" customFormat="false" ht="15" hidden="false" customHeight="false" outlineLevel="0" collapsed="false">
      <c r="A100" s="43" t="n">
        <v>45292</v>
      </c>
      <c r="B100" s="44" t="s">
        <v>58</v>
      </c>
      <c r="C100" s="44" t="s">
        <v>115</v>
      </c>
      <c r="D100" s="44" t="s">
        <v>55</v>
      </c>
      <c r="E100" s="44" t="s">
        <v>68</v>
      </c>
      <c r="F100" s="45" t="n">
        <v>96</v>
      </c>
      <c r="G100" s="45" t="n">
        <v>18</v>
      </c>
      <c r="H100" s="46" t="n">
        <v>73.73</v>
      </c>
      <c r="I100" s="47" t="str">
        <f aca="false">IF(F100&lt;=G100,"REORDER NOW",IF(F100&lt;=G100*(1+Settings!$B$5),"LOW STOCK","IN STOCK"))</f>
        <v>IN STOCK</v>
      </c>
      <c r="J100" s="48" t="str">
        <f aca="false">IFERROR(INDEX(Suppliers!$B$5:$B$9,MATCH(D100,Suppliers!$C$5:$C$9,0)),"Unassigned")</f>
        <v>HomeCraft Suppliers</v>
      </c>
      <c r="K100" s="49" t="n">
        <f aca="false">IFERROR(INDEX(Suppliers!$D$5:$D$9,MATCH(D100,Suppliers!$C$5:$C$9,0)),0)</f>
        <v>12</v>
      </c>
      <c r="L100" s="50" t="n">
        <v>1.4</v>
      </c>
      <c r="M100" s="51" t="n">
        <f aca="false">IF(L100&gt;0,ROUND(F100/L100,1),"")</f>
        <v>68.6</v>
      </c>
      <c r="N100" s="52" t="str">
        <f aca="false">IF(I100="IN STOCK","-",IF(AND(M100&lt;&gt;"",M100&lt;K100),"CRITICAL",IF(I100="REORDER NOW","HIGH","MEDIUM")))</f>
        <v>-</v>
      </c>
      <c r="O100" s="49" t="n">
        <f aca="false">IF(I100="IN STOCK",0,MAX(0,ROUNDUP(G100*Settings!$B$6,0)-F100))</f>
        <v>0</v>
      </c>
      <c r="P100" s="53" t="n">
        <f aca="false">F100*H100</f>
        <v>7078.08</v>
      </c>
      <c r="Q100" s="53" t="n">
        <f aca="false">O100*H100</f>
        <v>0</v>
      </c>
      <c r="R100" s="54" t="str">
        <f aca="false">IF(I100="IN STOCK","",Settings!$B$7+K100)</f>
        <v/>
      </c>
      <c r="S100" s="48" t="str">
        <f aca="false">IF(N100="CRITICAL","Order immediately - stock-out before delivery",IF(N100="HIGH","Raise purchase order today",IF(N100="MEDIUM","Plan reorder this week","No action required")))</f>
        <v>No action required</v>
      </c>
      <c r="T100" s="55" t="n">
        <f aca="false">IF(I100="IN STOCK",0,IF(N100="CRITICAL",30,IF(N100="HIGH",20,10))+IF(G100&gt;0,(G100-F100)/G100,0)+ROW()/10000000)</f>
        <v>0</v>
      </c>
      <c r="U100" s="56" t="str">
        <f aca="false">IF(T100&gt;0,SUMPRODUCT(--($T$5:$T$104&gt;T100))+1,"")</f>
        <v/>
      </c>
    </row>
    <row r="101" customFormat="false" ht="15" hidden="false" customHeight="false" outlineLevel="0" collapsed="false">
      <c r="A101" s="43" t="n">
        <v>45292</v>
      </c>
      <c r="B101" s="44" t="s">
        <v>58</v>
      </c>
      <c r="C101" s="44" t="s">
        <v>116</v>
      </c>
      <c r="D101" s="44" t="s">
        <v>59</v>
      </c>
      <c r="E101" s="44" t="s">
        <v>70</v>
      </c>
      <c r="F101" s="45" t="n">
        <v>313</v>
      </c>
      <c r="G101" s="45" t="n">
        <v>48</v>
      </c>
      <c r="H101" s="46" t="n">
        <v>82.57</v>
      </c>
      <c r="I101" s="47" t="str">
        <f aca="false">IF(F101&lt;=G101,"REORDER NOW",IF(F101&lt;=G101*(1+Settings!$B$5),"LOW STOCK","IN STOCK"))</f>
        <v>IN STOCK</v>
      </c>
      <c r="J101" s="48" t="str">
        <f aca="false">IFERROR(INDEX(Suppliers!$B$5:$B$9,MATCH(D101,Suppliers!$C$5:$C$9,0)),"Unassigned")</f>
        <v>PlayWorld Distributors</v>
      </c>
      <c r="K101" s="49" t="n">
        <f aca="false">IFERROR(INDEX(Suppliers!$D$5:$D$9,MATCH(D101,Suppliers!$C$5:$C$9,0)),0)</f>
        <v>5</v>
      </c>
      <c r="L101" s="50" t="n">
        <v>12.5</v>
      </c>
      <c r="M101" s="51" t="n">
        <f aca="false">IF(L101&gt;0,ROUND(F101/L101,1),"")</f>
        <v>25</v>
      </c>
      <c r="N101" s="52" t="str">
        <f aca="false">IF(I101="IN STOCK","-",IF(AND(M101&lt;&gt;"",M101&lt;K101),"CRITICAL",IF(I101="REORDER NOW","HIGH","MEDIUM")))</f>
        <v>-</v>
      </c>
      <c r="O101" s="49" t="n">
        <f aca="false">IF(I101="IN STOCK",0,MAX(0,ROUNDUP(G101*Settings!$B$6,0)-F101))</f>
        <v>0</v>
      </c>
      <c r="P101" s="53" t="n">
        <f aca="false">F101*H101</f>
        <v>25844.41</v>
      </c>
      <c r="Q101" s="53" t="n">
        <f aca="false">O101*H101</f>
        <v>0</v>
      </c>
      <c r="R101" s="54" t="str">
        <f aca="false">IF(I101="IN STOCK","",Settings!$B$7+K101)</f>
        <v/>
      </c>
      <c r="S101" s="48" t="str">
        <f aca="false">IF(N101="CRITICAL","Order immediately - stock-out before delivery",IF(N101="HIGH","Raise purchase order today",IF(N101="MEDIUM","Plan reorder this week","No action required")))</f>
        <v>No action required</v>
      </c>
      <c r="T101" s="55" t="n">
        <f aca="false">IF(I101="IN STOCK",0,IF(N101="CRITICAL",30,IF(N101="HIGH",20,10))+IF(G101&gt;0,(G101-F101)/G101,0)+ROW()/10000000)</f>
        <v>0</v>
      </c>
      <c r="U101" s="56" t="str">
        <f aca="false">IF(T101&gt;0,SUMPRODUCT(--($T$5:$T$104&gt;T101))+1,"")</f>
        <v/>
      </c>
    </row>
    <row r="102" customFormat="false" ht="15" hidden="false" customHeight="false" outlineLevel="0" collapsed="false">
      <c r="A102" s="43" t="n">
        <v>45292</v>
      </c>
      <c r="B102" s="44" t="s">
        <v>58</v>
      </c>
      <c r="C102" s="44" t="s">
        <v>117</v>
      </c>
      <c r="D102" s="44" t="s">
        <v>51</v>
      </c>
      <c r="E102" s="44" t="s">
        <v>74</v>
      </c>
      <c r="F102" s="45" t="n">
        <v>278</v>
      </c>
      <c r="G102" s="45" t="n">
        <v>40</v>
      </c>
      <c r="H102" s="46" t="n">
        <v>11.11</v>
      </c>
      <c r="I102" s="47" t="str">
        <f aca="false">IF(F102&lt;=G102,"REORDER NOW",IF(F102&lt;=G102*(1+Settings!$B$5),"LOW STOCK","IN STOCK"))</f>
        <v>IN STOCK</v>
      </c>
      <c r="J102" s="48" t="str">
        <f aca="false">IFERROR(INDEX(Suppliers!$B$5:$B$9,MATCH(D102,Suppliers!$C$5:$C$9,0)),"Unassigned")</f>
        <v>StyleHub Wholesale</v>
      </c>
      <c r="K102" s="49" t="n">
        <f aca="false">IFERROR(INDEX(Suppliers!$D$5:$D$9,MATCH(D102,Suppliers!$C$5:$C$9,0)),0)</f>
        <v>6</v>
      </c>
      <c r="L102" s="50" t="n">
        <v>6.8</v>
      </c>
      <c r="M102" s="51" t="n">
        <f aca="false">IF(L102&gt;0,ROUND(F102/L102,1),"")</f>
        <v>40.9</v>
      </c>
      <c r="N102" s="52" t="str">
        <f aca="false">IF(I102="IN STOCK","-",IF(AND(M102&lt;&gt;"",M102&lt;K102),"CRITICAL",IF(I102="REORDER NOW","HIGH","MEDIUM")))</f>
        <v>-</v>
      </c>
      <c r="O102" s="49" t="n">
        <f aca="false">IF(I102="IN STOCK",0,MAX(0,ROUNDUP(G102*Settings!$B$6,0)-F102))</f>
        <v>0</v>
      </c>
      <c r="P102" s="53" t="n">
        <f aca="false">F102*H102</f>
        <v>3088.58</v>
      </c>
      <c r="Q102" s="53" t="n">
        <f aca="false">O102*H102</f>
        <v>0</v>
      </c>
      <c r="R102" s="54" t="str">
        <f aca="false">IF(I102="IN STOCK","",Settings!$B$7+K102)</f>
        <v/>
      </c>
      <c r="S102" s="48" t="str">
        <f aca="false">IF(N102="CRITICAL","Order immediately - stock-out before delivery",IF(N102="HIGH","Raise purchase order today",IF(N102="MEDIUM","Plan reorder this week","No action required")))</f>
        <v>No action required</v>
      </c>
      <c r="T102" s="55" t="n">
        <f aca="false">IF(I102="IN STOCK",0,IF(N102="CRITICAL",30,IF(N102="HIGH",20,10))+IF(G102&gt;0,(G102-F102)/G102,0)+ROW()/10000000)</f>
        <v>0</v>
      </c>
      <c r="U102" s="56" t="str">
        <f aca="false">IF(T102&gt;0,SUMPRODUCT(--($T$5:$T$104&gt;T102))+1,"")</f>
        <v/>
      </c>
    </row>
    <row r="103" customFormat="false" ht="15" hidden="false" customHeight="false" outlineLevel="0" collapsed="false">
      <c r="A103" s="43" t="n">
        <v>45292</v>
      </c>
      <c r="B103" s="44" t="s">
        <v>58</v>
      </c>
      <c r="C103" s="44" t="s">
        <v>118</v>
      </c>
      <c r="D103" s="44" t="s">
        <v>59</v>
      </c>
      <c r="E103" s="44" t="s">
        <v>68</v>
      </c>
      <c r="F103" s="45" t="n">
        <v>374</v>
      </c>
      <c r="G103" s="45" t="n">
        <v>271</v>
      </c>
      <c r="H103" s="46" t="n">
        <v>53.14</v>
      </c>
      <c r="I103" s="47" t="str">
        <f aca="false">IF(F103&lt;=G103,"REORDER NOW",IF(F103&lt;=G103*(1+Settings!$B$5),"LOW STOCK","IN STOCK"))</f>
        <v>IN STOCK</v>
      </c>
      <c r="J103" s="48" t="str">
        <f aca="false">IFERROR(INDEX(Suppliers!$B$5:$B$9,MATCH(D103,Suppliers!$C$5:$C$9,0)),"Unassigned")</f>
        <v>PlayWorld Distributors</v>
      </c>
      <c r="K103" s="49" t="n">
        <f aca="false">IFERROR(INDEX(Suppliers!$D$5:$D$9,MATCH(D103,Suppliers!$C$5:$C$9,0)),0)</f>
        <v>5</v>
      </c>
      <c r="L103" s="50" t="n">
        <v>69.5</v>
      </c>
      <c r="M103" s="51" t="n">
        <f aca="false">IF(L103&gt;0,ROUND(F103/L103,1),"")</f>
        <v>5.4</v>
      </c>
      <c r="N103" s="52" t="str">
        <f aca="false">IF(I103="IN STOCK","-",IF(AND(M103&lt;&gt;"",M103&lt;K103),"CRITICAL",IF(I103="REORDER NOW","HIGH","MEDIUM")))</f>
        <v>-</v>
      </c>
      <c r="O103" s="49" t="n">
        <f aca="false">IF(I103="IN STOCK",0,MAX(0,ROUNDUP(G103*Settings!$B$6,0)-F103))</f>
        <v>0</v>
      </c>
      <c r="P103" s="53" t="n">
        <f aca="false">F103*H103</f>
        <v>19874.36</v>
      </c>
      <c r="Q103" s="53" t="n">
        <f aca="false">O103*H103</f>
        <v>0</v>
      </c>
      <c r="R103" s="54" t="str">
        <f aca="false">IF(I103="IN STOCK","",Settings!$B$7+K103)</f>
        <v/>
      </c>
      <c r="S103" s="48" t="str">
        <f aca="false">IF(N103="CRITICAL","Order immediately - stock-out before delivery",IF(N103="HIGH","Raise purchase order today",IF(N103="MEDIUM","Plan reorder this week","No action required")))</f>
        <v>No action required</v>
      </c>
      <c r="T103" s="55" t="n">
        <f aca="false">IF(I103="IN STOCK",0,IF(N103="CRITICAL",30,IF(N103="HIGH",20,10))+IF(G103&gt;0,(G103-F103)/G103,0)+ROW()/10000000)</f>
        <v>0</v>
      </c>
      <c r="U103" s="56" t="str">
        <f aca="false">IF(T103&gt;0,SUMPRODUCT(--($T$5:$T$104&gt;T103))+1,"")</f>
        <v/>
      </c>
    </row>
    <row r="104" customFormat="false" ht="15" hidden="false" customHeight="false" outlineLevel="0" collapsed="false">
      <c r="A104" s="43" t="n">
        <v>45292</v>
      </c>
      <c r="B104" s="44" t="s">
        <v>58</v>
      </c>
      <c r="C104" s="44" t="s">
        <v>119</v>
      </c>
      <c r="D104" s="44" t="s">
        <v>57</v>
      </c>
      <c r="E104" s="44" t="s">
        <v>68</v>
      </c>
      <c r="F104" s="45" t="n">
        <v>117</v>
      </c>
      <c r="G104" s="45" t="n">
        <v>2</v>
      </c>
      <c r="H104" s="46" t="n">
        <v>78.39</v>
      </c>
      <c r="I104" s="47" t="str">
        <f aca="false">IF(F104&lt;=G104,"REORDER NOW",IF(F104&lt;=G104*(1+Settings!$B$5),"LOW STOCK","IN STOCK"))</f>
        <v>IN STOCK</v>
      </c>
      <c r="J104" s="48" t="str">
        <f aca="false">IFERROR(INDEX(Suppliers!$B$5:$B$9,MATCH(D104,Suppliers!$C$5:$C$9,0)),"Unassigned")</f>
        <v>FreshLink Traders</v>
      </c>
      <c r="K104" s="49" t="n">
        <f aca="false">IFERROR(INDEX(Suppliers!$D$5:$D$9,MATCH(D104,Suppliers!$C$5:$C$9,0)),0)</f>
        <v>2</v>
      </c>
      <c r="L104" s="50" t="n">
        <v>1.2</v>
      </c>
      <c r="M104" s="51" t="n">
        <f aca="false">IF(L104&gt;0,ROUND(F104/L104,1),"")</f>
        <v>97.5</v>
      </c>
      <c r="N104" s="52" t="str">
        <f aca="false">IF(I104="IN STOCK","-",IF(AND(M104&lt;&gt;"",M104&lt;K104),"CRITICAL",IF(I104="REORDER NOW","HIGH","MEDIUM")))</f>
        <v>-</v>
      </c>
      <c r="O104" s="49" t="n">
        <f aca="false">IF(I104="IN STOCK",0,MAX(0,ROUNDUP(G104*Settings!$B$6,0)-F104))</f>
        <v>0</v>
      </c>
      <c r="P104" s="53" t="n">
        <f aca="false">F104*H104</f>
        <v>9171.63</v>
      </c>
      <c r="Q104" s="53" t="n">
        <f aca="false">O104*H104</f>
        <v>0</v>
      </c>
      <c r="R104" s="54" t="str">
        <f aca="false">IF(I104="IN STOCK","",Settings!$B$7+K104)</f>
        <v/>
      </c>
      <c r="S104" s="48" t="str">
        <f aca="false">IF(N104="CRITICAL","Order immediately - stock-out before delivery",IF(N104="HIGH","Raise purchase order today",IF(N104="MEDIUM","Plan reorder this week","No action required")))</f>
        <v>No action required</v>
      </c>
      <c r="T104" s="55" t="n">
        <f aca="false">IF(I104="IN STOCK",0,IF(N104="CRITICAL",30,IF(N104="HIGH",20,10))+IF(G104&gt;0,(G104-F104)/G104,0)+ROW()/10000000)</f>
        <v>0</v>
      </c>
      <c r="U104" s="56" t="str">
        <f aca="false">IF(T104&gt;0,SUMPRODUCT(--($T$5:$T$104&gt;T104))+1,"")</f>
        <v/>
      </c>
    </row>
  </sheetData>
  <autoFilter ref="A4:I104"/>
  <mergeCells count="2">
    <mergeCell ref="A1:U1"/>
    <mergeCell ref="A2:U2"/>
  </mergeCells>
  <conditionalFormatting sqref="I5:I104">
    <cfRule type="cellIs" priority="2" operator="equal" aboveAverage="0" equalAverage="0" bottom="0" percent="0" rank="0" text="" dxfId="1">
      <formula>"REORDER NOW"</formula>
    </cfRule>
    <cfRule type="cellIs" priority="3" operator="equal" aboveAverage="0" equalAverage="0" bottom="0" percent="0" rank="0" text="" dxfId="2">
      <formula>"LOW STOCK"</formula>
    </cfRule>
    <cfRule type="cellIs" priority="4" operator="equal" aboveAverage="0" equalAverage="0" bottom="0" percent="0" rank="0" text="" dxfId="3">
      <formula>"IN STOCK"</formula>
    </cfRule>
  </conditionalFormatting>
  <conditionalFormatting sqref="N5:N104">
    <cfRule type="cellIs" priority="5" operator="equal" aboveAverage="0" equalAverage="0" bottom="0" percent="0" rank="0" text="" dxfId="0">
      <formula>"CRITICAL"</formula>
    </cfRule>
    <cfRule type="cellIs" priority="6" operator="equal" aboveAverage="0" equalAverage="0" bottom="0" percent="0" rank="0" text="" dxfId="1">
      <formula>"HIGH"</formula>
    </cfRule>
    <cfRule type="cellIs" priority="7" operator="equal" aboveAverage="0" equalAverage="0" bottom="0" percent="0" rank="0" text="" dxfId="2">
      <formula>"MEDIUM"</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true"/>
  </sheetPr>
  <dimension ref="A1:P1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0"/>
    <col collapsed="false" customWidth="true" hidden="false" outlineLevel="0" max="3" min="3" style="0" width="11"/>
    <col collapsed="false" customWidth="true" hidden="false" outlineLevel="0" max="4" min="4" style="0" width="14"/>
    <col collapsed="false" customWidth="true" hidden="false" outlineLevel="0" max="5" min="5" style="0" width="10"/>
    <col collapsed="false" customWidth="true" hidden="false" outlineLevel="0" max="7" min="6" style="0" width="12"/>
    <col collapsed="false" customWidth="true" hidden="false" outlineLevel="0" max="8" min="8" style="0" width="15"/>
    <col collapsed="false" customWidth="true" hidden="false" outlineLevel="0" max="9" min="9" style="0" width="12"/>
    <col collapsed="false" customWidth="true" hidden="false" outlineLevel="0" max="10" min="10" style="0" width="11"/>
    <col collapsed="false" customWidth="true" hidden="false" outlineLevel="0" max="11" min="11" style="0" width="12"/>
    <col collapsed="false" customWidth="true" hidden="false" outlineLevel="0" max="12" min="12" style="0" width="24"/>
    <col collapsed="false" customWidth="true" hidden="false" outlineLevel="0" max="13" min="13" style="0" width="12"/>
    <col collapsed="false" customWidth="true" hidden="false" outlineLevel="0" max="14" min="14" style="0" width="14"/>
    <col collapsed="false" customWidth="true" hidden="false" outlineLevel="0" max="15" min="15" style="0" width="15"/>
    <col collapsed="false" customWidth="true" hidden="false" outlineLevel="0" max="16" min="16" style="0" width="42"/>
  </cols>
  <sheetData>
    <row r="1" customFormat="false" ht="33.75" hidden="false" customHeight="true" outlineLevel="0" collapsed="false">
      <c r="A1" s="5" t="s">
        <v>120</v>
      </c>
      <c r="B1" s="5"/>
      <c r="C1" s="5"/>
      <c r="D1" s="5"/>
      <c r="E1" s="5"/>
      <c r="F1" s="5"/>
      <c r="G1" s="5"/>
      <c r="H1" s="5"/>
      <c r="I1" s="5"/>
      <c r="J1" s="5"/>
      <c r="K1" s="5"/>
      <c r="L1" s="5"/>
      <c r="M1" s="5"/>
      <c r="N1" s="5"/>
      <c r="O1" s="5"/>
      <c r="P1" s="5"/>
    </row>
    <row r="2" customFormat="false" ht="15" hidden="false" customHeight="false" outlineLevel="0" collapsed="false">
      <c r="A2" s="6" t="str">
        <f aca="false">"Items needing action: "&amp;COUNT(Inventory_Data!$U$5:$U$104)&amp;"   |   Estimated reorder cost: ₹"&amp;TEXT(SUM(Inventory_Data!$Q$5:$Q$104),"#,##0")&amp;"   |   Sorted automatically: CRITICAL first, then largest shortfall"</f>
        <v>Items needing action: 21   |   Estimated reorder cost: ₹477,687   |   Sorted automatically: CRITICAL first, then largest shortfall</v>
      </c>
      <c r="B2" s="6"/>
      <c r="C2" s="6"/>
      <c r="D2" s="6"/>
      <c r="E2" s="6"/>
      <c r="F2" s="6"/>
      <c r="G2" s="6"/>
      <c r="H2" s="6"/>
      <c r="I2" s="6"/>
      <c r="J2" s="6"/>
      <c r="K2" s="6"/>
      <c r="L2" s="6"/>
      <c r="M2" s="6"/>
      <c r="N2" s="6"/>
      <c r="O2" s="6"/>
      <c r="P2" s="6"/>
    </row>
    <row r="4" customFormat="false" ht="30" hidden="false" customHeight="true" outlineLevel="0" collapsed="false">
      <c r="A4" s="23" t="s">
        <v>77</v>
      </c>
      <c r="B4" s="23" t="s">
        <v>90</v>
      </c>
      <c r="C4" s="23" t="s">
        <v>78</v>
      </c>
      <c r="D4" s="23" t="s">
        <v>37</v>
      </c>
      <c r="E4" s="23" t="s">
        <v>61</v>
      </c>
      <c r="F4" s="23" t="s">
        <v>79</v>
      </c>
      <c r="G4" s="23" t="s">
        <v>80</v>
      </c>
      <c r="H4" s="23" t="s">
        <v>92</v>
      </c>
      <c r="I4" s="23" t="s">
        <v>62</v>
      </c>
      <c r="J4" s="23" t="s">
        <v>82</v>
      </c>
      <c r="K4" s="23" t="s">
        <v>83</v>
      </c>
      <c r="L4" s="23" t="s">
        <v>84</v>
      </c>
      <c r="M4" s="23" t="s">
        <v>85</v>
      </c>
      <c r="N4" s="23" t="s">
        <v>86</v>
      </c>
      <c r="O4" s="23" t="s">
        <v>97</v>
      </c>
      <c r="P4" s="23" t="s">
        <v>87</v>
      </c>
    </row>
    <row r="5" customFormat="false" ht="15" hidden="false" customHeight="false" outlineLevel="0" collapsed="false">
      <c r="A5" s="57" t="n">
        <f aca="false">IF(ROW()-4&lt;=COUNT(Inventory_Data!$U$5:$U$104),ROW()-4,"")</f>
        <v>1</v>
      </c>
      <c r="B5" s="58" t="str">
        <f aca="false">IF($A5="","",INDEX(Inventory_Data!$B$5:$B$104,MATCH($A5,Inventory_Data!$U$5:$U$104,0)))</f>
        <v>S005</v>
      </c>
      <c r="C5" s="58" t="str">
        <f aca="false">IF($A5="","",INDEX(Inventory_Data!$C$5:$C$104,MATCH($A5,Inventory_Data!$U$5:$U$104,0)))</f>
        <v>P0003</v>
      </c>
      <c r="D5" s="58" t="str">
        <f aca="false">IF($A5="","",INDEX(Inventory_Data!$D$5:$D$104,MATCH($A5,Inventory_Data!$U$5:$U$104,0)))</f>
        <v>Furniture</v>
      </c>
      <c r="E5" s="58" t="str">
        <f aca="false">IF($A5="","",INDEX(Inventory_Data!$E$5:$E$104,MATCH($A5,Inventory_Data!$U$5:$U$104,0)))</f>
        <v>South</v>
      </c>
      <c r="F5" s="58" t="n">
        <f aca="false">IF($A5="","",INDEX(Inventory_Data!$F$5:$F$104,MATCH($A5,Inventory_Data!$U$5:$U$104,0)))</f>
        <v>98</v>
      </c>
      <c r="G5" s="58" t="n">
        <f aca="false">IF($A5="","",INDEX(Inventory_Data!$G$5:$G$104,MATCH($A5,Inventory_Data!$U$5:$U$104,0)))</f>
        <v>106</v>
      </c>
      <c r="H5" s="59" t="str">
        <f aca="false">IF($A5="","",INDEX(Inventory_Data!$I$5:$I$104,MATCH($A5,Inventory_Data!$U$5:$U$104,0)))</f>
        <v>REORDER NOW</v>
      </c>
      <c r="I5" s="58" t="str">
        <f aca="false">IF($A5="","",INDEX(Inventory_Data!$N$5:$N$104,MATCH($A5,Inventory_Data!$U$5:$U$104,0)))</f>
        <v>CRITICAL</v>
      </c>
      <c r="J5" s="60" t="n">
        <f aca="false">IF($A5="","",INDEX(Inventory_Data!$M$5:$M$104,MATCH($A5,Inventory_Data!$U$5:$U$104,0)))</f>
        <v>10.5</v>
      </c>
      <c r="K5" s="58" t="n">
        <f aca="false">IF($A5="","",INDEX(Inventory_Data!$K$5:$K$104,MATCH($A5,Inventory_Data!$U$5:$U$104,0)))</f>
        <v>12</v>
      </c>
      <c r="L5" s="61" t="str">
        <f aca="false">IF($A5="","",INDEX(Inventory_Data!$J$5:$J$104,MATCH($A5,Inventory_Data!$U$5:$U$104,0)))</f>
        <v>HomeCraft Suppliers</v>
      </c>
      <c r="M5" s="58" t="n">
        <f aca="false">IF($A5="","",INDEX(Inventory_Data!$O$5:$O$104,MATCH($A5,Inventory_Data!$U$5:$U$104,0)))</f>
        <v>220</v>
      </c>
      <c r="N5" s="62" t="n">
        <f aca="false">IF($A5="","",INDEX(Inventory_Data!$Q$5:$Q$104,MATCH($A5,Inventory_Data!$U$5:$U$104,0)))</f>
        <v>5317.4</v>
      </c>
      <c r="O5" s="63" t="n">
        <f aca="false">IF($A5="","",INDEX(Inventory_Data!$R$5:$R$104,MATCH($A5,Inventory_Data!$U$5:$U$104,0)))</f>
        <v>45304</v>
      </c>
      <c r="P5" s="61" t="str">
        <f aca="false">IF($A5="","",INDEX(Inventory_Data!$S$5:$S$104,MATCH($A5,Inventory_Data!$U$5:$U$104,0)))</f>
        <v>Order immediately - stock-out before delivery</v>
      </c>
    </row>
    <row r="6" customFormat="false" ht="15" hidden="false" customHeight="false" outlineLevel="0" collapsed="false">
      <c r="A6" s="57" t="n">
        <f aca="false">IF(ROW()-4&lt;=COUNT(Inventory_Data!$U$5:$U$104),ROW()-4,"")</f>
        <v>2</v>
      </c>
      <c r="B6" s="58" t="str">
        <f aca="false">IF($A6="","",INDEX(Inventory_Data!$B$5:$B$104,MATCH($A6,Inventory_Data!$U$5:$U$104,0)))</f>
        <v>S004</v>
      </c>
      <c r="C6" s="58" t="str">
        <f aca="false">IF($A6="","",INDEX(Inventory_Data!$C$5:$C$104,MATCH($A6,Inventory_Data!$U$5:$U$104,0)))</f>
        <v>P0002</v>
      </c>
      <c r="D6" s="58" t="str">
        <f aca="false">IF($A6="","",INDEX(Inventory_Data!$D$5:$D$104,MATCH($A6,Inventory_Data!$U$5:$U$104,0)))</f>
        <v>Furniture</v>
      </c>
      <c r="E6" s="58" t="str">
        <f aca="false">IF($A6="","",INDEX(Inventory_Data!$E$5:$E$104,MATCH($A6,Inventory_Data!$U$5:$U$104,0)))</f>
        <v>West</v>
      </c>
      <c r="F6" s="58" t="n">
        <f aca="false">IF($A6="","",INDEX(Inventory_Data!$F$5:$F$104,MATCH($A6,Inventory_Data!$U$5:$U$104,0)))</f>
        <v>181</v>
      </c>
      <c r="G6" s="58" t="n">
        <f aca="false">IF($A6="","",INDEX(Inventory_Data!$G$5:$G$104,MATCH($A6,Inventory_Data!$U$5:$U$104,0)))</f>
        <v>193</v>
      </c>
      <c r="H6" s="59" t="str">
        <f aca="false">IF($A6="","",INDEX(Inventory_Data!$I$5:$I$104,MATCH($A6,Inventory_Data!$U$5:$U$104,0)))</f>
        <v>REORDER NOW</v>
      </c>
      <c r="I6" s="58" t="str">
        <f aca="false">IF($A6="","",INDEX(Inventory_Data!$N$5:$N$104,MATCH($A6,Inventory_Data!$U$5:$U$104,0)))</f>
        <v>CRITICAL</v>
      </c>
      <c r="J6" s="60" t="n">
        <f aca="false">IF($A6="","",INDEX(Inventory_Data!$M$5:$M$104,MATCH($A6,Inventory_Data!$U$5:$U$104,0)))</f>
        <v>10.4</v>
      </c>
      <c r="K6" s="58" t="n">
        <f aca="false">IF($A6="","",INDEX(Inventory_Data!$K$5:$K$104,MATCH($A6,Inventory_Data!$U$5:$U$104,0)))</f>
        <v>12</v>
      </c>
      <c r="L6" s="61" t="str">
        <f aca="false">IF($A6="","",INDEX(Inventory_Data!$J$5:$J$104,MATCH($A6,Inventory_Data!$U$5:$U$104,0)))</f>
        <v>HomeCraft Suppliers</v>
      </c>
      <c r="M6" s="58" t="n">
        <f aca="false">IF($A6="","",INDEX(Inventory_Data!$O$5:$O$104,MATCH($A6,Inventory_Data!$U$5:$U$104,0)))</f>
        <v>398</v>
      </c>
      <c r="N6" s="62" t="n">
        <f aca="false">IF($A6="","",INDEX(Inventory_Data!$Q$5:$Q$104,MATCH($A6,Inventory_Data!$U$5:$U$104,0)))</f>
        <v>12198.7</v>
      </c>
      <c r="O6" s="63" t="n">
        <f aca="false">IF($A6="","",INDEX(Inventory_Data!$R$5:$R$104,MATCH($A6,Inventory_Data!$U$5:$U$104,0)))</f>
        <v>45304</v>
      </c>
      <c r="P6" s="61" t="str">
        <f aca="false">IF($A6="","",INDEX(Inventory_Data!$S$5:$S$104,MATCH($A6,Inventory_Data!$U$5:$U$104,0)))</f>
        <v>Order immediately - stock-out before delivery</v>
      </c>
    </row>
    <row r="7" customFormat="false" ht="15" hidden="false" customHeight="false" outlineLevel="0" collapsed="false">
      <c r="A7" s="57" t="n">
        <f aca="false">IF(ROW()-4&lt;=COUNT(Inventory_Data!$U$5:$U$104),ROW()-4,"")</f>
        <v>3</v>
      </c>
      <c r="B7" s="58" t="str">
        <f aca="false">IF($A7="","",INDEX(Inventory_Data!$B$5:$B$104,MATCH($A7,Inventory_Data!$U$5:$U$104,0)))</f>
        <v>S001</v>
      </c>
      <c r="C7" s="58" t="str">
        <f aca="false">IF($A7="","",INDEX(Inventory_Data!$C$5:$C$104,MATCH($A7,Inventory_Data!$U$5:$U$104,0)))</f>
        <v>P0019</v>
      </c>
      <c r="D7" s="58" t="str">
        <f aca="false">IF($A7="","",INDEX(Inventory_Data!$D$5:$D$104,MATCH($A7,Inventory_Data!$U$5:$U$104,0)))</f>
        <v>Clothing</v>
      </c>
      <c r="E7" s="58" t="str">
        <f aca="false">IF($A7="","",INDEX(Inventory_Data!$E$5:$E$104,MATCH($A7,Inventory_Data!$U$5:$U$104,0)))</f>
        <v>West</v>
      </c>
      <c r="F7" s="58" t="n">
        <f aca="false">IF($A7="","",INDEX(Inventory_Data!$F$5:$F$104,MATCH($A7,Inventory_Data!$U$5:$U$104,0)))</f>
        <v>149</v>
      </c>
      <c r="G7" s="58" t="n">
        <f aca="false">IF($A7="","",INDEX(Inventory_Data!$G$5:$G$104,MATCH($A7,Inventory_Data!$U$5:$U$104,0)))</f>
        <v>155</v>
      </c>
      <c r="H7" s="59" t="str">
        <f aca="false">IF($A7="","",INDEX(Inventory_Data!$I$5:$I$104,MATCH($A7,Inventory_Data!$U$5:$U$104,0)))</f>
        <v>REORDER NOW</v>
      </c>
      <c r="I7" s="58" t="str">
        <f aca="false">IF($A7="","",INDEX(Inventory_Data!$N$5:$N$104,MATCH($A7,Inventory_Data!$U$5:$U$104,0)))</f>
        <v>CRITICAL</v>
      </c>
      <c r="J7" s="60" t="n">
        <f aca="false">IF($A7="","",INDEX(Inventory_Data!$M$5:$M$104,MATCH($A7,Inventory_Data!$U$5:$U$104,0)))</f>
        <v>4.9</v>
      </c>
      <c r="K7" s="58" t="n">
        <f aca="false">IF($A7="","",INDEX(Inventory_Data!$K$5:$K$104,MATCH($A7,Inventory_Data!$U$5:$U$104,0)))</f>
        <v>6</v>
      </c>
      <c r="L7" s="61" t="str">
        <f aca="false">IF($A7="","",INDEX(Inventory_Data!$J$5:$J$104,MATCH($A7,Inventory_Data!$U$5:$U$104,0)))</f>
        <v>StyleHub Wholesale</v>
      </c>
      <c r="M7" s="58" t="n">
        <f aca="false">IF($A7="","",INDEX(Inventory_Data!$O$5:$O$104,MATCH($A7,Inventory_Data!$U$5:$U$104,0)))</f>
        <v>316</v>
      </c>
      <c r="N7" s="62" t="n">
        <f aca="false">IF($A7="","",INDEX(Inventory_Data!$Q$5:$Q$104,MATCH($A7,Inventory_Data!$U$5:$U$104,0)))</f>
        <v>25820.36</v>
      </c>
      <c r="O7" s="63" t="n">
        <f aca="false">IF($A7="","",INDEX(Inventory_Data!$R$5:$R$104,MATCH($A7,Inventory_Data!$U$5:$U$104,0)))</f>
        <v>45298</v>
      </c>
      <c r="P7" s="61" t="str">
        <f aca="false">IF($A7="","",INDEX(Inventory_Data!$S$5:$S$104,MATCH($A7,Inventory_Data!$U$5:$U$104,0)))</f>
        <v>Order immediately - stock-out before delivery</v>
      </c>
    </row>
    <row r="8" customFormat="false" ht="15" hidden="false" customHeight="false" outlineLevel="0" collapsed="false">
      <c r="A8" s="57" t="n">
        <f aca="false">IF(ROW()-4&lt;=COUNT(Inventory_Data!$U$5:$U$104),ROW()-4,"")</f>
        <v>4</v>
      </c>
      <c r="B8" s="58" t="str">
        <f aca="false">IF($A8="","",INDEX(Inventory_Data!$B$5:$B$104,MATCH($A8,Inventory_Data!$U$5:$U$104,0)))</f>
        <v>S004</v>
      </c>
      <c r="C8" s="58" t="str">
        <f aca="false">IF($A8="","",INDEX(Inventory_Data!$C$5:$C$104,MATCH($A8,Inventory_Data!$U$5:$U$104,0)))</f>
        <v>P0001</v>
      </c>
      <c r="D8" s="58" t="str">
        <f aca="false">IF($A8="","",INDEX(Inventory_Data!$D$5:$D$104,MATCH($A8,Inventory_Data!$U$5:$U$104,0)))</f>
        <v>Electronics</v>
      </c>
      <c r="E8" s="58" t="str">
        <f aca="false">IF($A8="","",INDEX(Inventory_Data!$E$5:$E$104,MATCH($A8,Inventory_Data!$U$5:$U$104,0)))</f>
        <v>East</v>
      </c>
      <c r="F8" s="58" t="n">
        <f aca="false">IF($A8="","",INDEX(Inventory_Data!$F$5:$F$104,MATCH($A8,Inventory_Data!$U$5:$U$104,0)))</f>
        <v>497</v>
      </c>
      <c r="G8" s="58" t="n">
        <f aca="false">IF($A8="","",INDEX(Inventory_Data!$G$5:$G$104,MATCH($A8,Inventory_Data!$U$5:$U$104,0)))</f>
        <v>490</v>
      </c>
      <c r="H8" s="59" t="str">
        <f aca="false">IF($A8="","",INDEX(Inventory_Data!$I$5:$I$104,MATCH($A8,Inventory_Data!$U$5:$U$104,0)))</f>
        <v>LOW STOCK</v>
      </c>
      <c r="I8" s="58" t="str">
        <f aca="false">IF($A8="","",INDEX(Inventory_Data!$N$5:$N$104,MATCH($A8,Inventory_Data!$U$5:$U$104,0)))</f>
        <v>CRITICAL</v>
      </c>
      <c r="J8" s="60" t="n">
        <f aca="false">IF($A8="","",INDEX(Inventory_Data!$M$5:$M$104,MATCH($A8,Inventory_Data!$U$5:$U$104,0)))</f>
        <v>5.5</v>
      </c>
      <c r="K8" s="58" t="n">
        <f aca="false">IF($A8="","",INDEX(Inventory_Data!$K$5:$K$104,MATCH($A8,Inventory_Data!$U$5:$U$104,0)))</f>
        <v>7</v>
      </c>
      <c r="L8" s="61" t="str">
        <f aca="false">IF($A8="","",INDEX(Inventory_Data!$J$5:$J$104,MATCH($A8,Inventory_Data!$U$5:$U$104,0)))</f>
        <v>TechSource India</v>
      </c>
      <c r="M8" s="58" t="n">
        <f aca="false">IF($A8="","",INDEX(Inventory_Data!$O$5:$O$104,MATCH($A8,Inventory_Data!$U$5:$U$104,0)))</f>
        <v>973</v>
      </c>
      <c r="N8" s="62" t="n">
        <f aca="false">IF($A8="","",INDEX(Inventory_Data!$Q$5:$Q$104,MATCH($A8,Inventory_Data!$U$5:$U$104,0)))</f>
        <v>41196.82</v>
      </c>
      <c r="O8" s="63" t="n">
        <f aca="false">IF($A8="","",INDEX(Inventory_Data!$R$5:$R$104,MATCH($A8,Inventory_Data!$U$5:$U$104,0)))</f>
        <v>45299</v>
      </c>
      <c r="P8" s="61" t="str">
        <f aca="false">IF($A8="","",INDEX(Inventory_Data!$S$5:$S$104,MATCH($A8,Inventory_Data!$U$5:$U$104,0)))</f>
        <v>Order immediately - stock-out before delivery</v>
      </c>
    </row>
    <row r="9" customFormat="false" ht="15" hidden="false" customHeight="false" outlineLevel="0" collapsed="false">
      <c r="A9" s="57" t="n">
        <f aca="false">IF(ROW()-4&lt;=COUNT(Inventory_Data!$U$5:$U$104),ROW()-4,"")</f>
        <v>5</v>
      </c>
      <c r="B9" s="58" t="str">
        <f aca="false">IF($A9="","",INDEX(Inventory_Data!$B$5:$B$104,MATCH($A9,Inventory_Data!$U$5:$U$104,0)))</f>
        <v>S002</v>
      </c>
      <c r="C9" s="58" t="str">
        <f aca="false">IF($A9="","",INDEX(Inventory_Data!$C$5:$C$104,MATCH($A9,Inventory_Data!$U$5:$U$104,0)))</f>
        <v>P0014</v>
      </c>
      <c r="D9" s="58" t="str">
        <f aca="false">IF($A9="","",INDEX(Inventory_Data!$D$5:$D$104,MATCH($A9,Inventory_Data!$U$5:$U$104,0)))</f>
        <v>Clothing</v>
      </c>
      <c r="E9" s="58" t="str">
        <f aca="false">IF($A9="","",INDEX(Inventory_Data!$E$5:$E$104,MATCH($A9,Inventory_Data!$U$5:$U$104,0)))</f>
        <v>West</v>
      </c>
      <c r="F9" s="58" t="n">
        <f aca="false">IF($A9="","",INDEX(Inventory_Data!$F$5:$F$104,MATCH($A9,Inventory_Data!$U$5:$U$104,0)))</f>
        <v>342</v>
      </c>
      <c r="G9" s="58" t="n">
        <f aca="false">IF($A9="","",INDEX(Inventory_Data!$G$5:$G$104,MATCH($A9,Inventory_Data!$U$5:$U$104,0)))</f>
        <v>336</v>
      </c>
      <c r="H9" s="59" t="str">
        <f aca="false">IF($A9="","",INDEX(Inventory_Data!$I$5:$I$104,MATCH($A9,Inventory_Data!$U$5:$U$104,0)))</f>
        <v>LOW STOCK</v>
      </c>
      <c r="I9" s="58" t="str">
        <f aca="false">IF($A9="","",INDEX(Inventory_Data!$N$5:$N$104,MATCH($A9,Inventory_Data!$U$5:$U$104,0)))</f>
        <v>CRITICAL</v>
      </c>
      <c r="J9" s="60" t="n">
        <f aca="false">IF($A9="","",INDEX(Inventory_Data!$M$5:$M$104,MATCH($A9,Inventory_Data!$U$5:$U$104,0)))</f>
        <v>4.8</v>
      </c>
      <c r="K9" s="58" t="n">
        <f aca="false">IF($A9="","",INDEX(Inventory_Data!$K$5:$K$104,MATCH($A9,Inventory_Data!$U$5:$U$104,0)))</f>
        <v>6</v>
      </c>
      <c r="L9" s="61" t="str">
        <f aca="false">IF($A9="","",INDEX(Inventory_Data!$J$5:$J$104,MATCH($A9,Inventory_Data!$U$5:$U$104,0)))</f>
        <v>StyleHub Wholesale</v>
      </c>
      <c r="M9" s="58" t="n">
        <f aca="false">IF($A9="","",INDEX(Inventory_Data!$O$5:$O$104,MATCH($A9,Inventory_Data!$U$5:$U$104,0)))</f>
        <v>666</v>
      </c>
      <c r="N9" s="62" t="n">
        <f aca="false">IF($A9="","",INDEX(Inventory_Data!$Q$5:$Q$104,MATCH($A9,Inventory_Data!$U$5:$U$104,0)))</f>
        <v>46826.46</v>
      </c>
      <c r="O9" s="63" t="n">
        <f aca="false">IF($A9="","",INDEX(Inventory_Data!$R$5:$R$104,MATCH($A9,Inventory_Data!$U$5:$U$104,0)))</f>
        <v>45298</v>
      </c>
      <c r="P9" s="61" t="str">
        <f aca="false">IF($A9="","",INDEX(Inventory_Data!$S$5:$S$104,MATCH($A9,Inventory_Data!$U$5:$U$104,0)))</f>
        <v>Order immediately - stock-out before delivery</v>
      </c>
    </row>
    <row r="10" customFormat="false" ht="15" hidden="false" customHeight="false" outlineLevel="0" collapsed="false">
      <c r="A10" s="57" t="n">
        <f aca="false">IF(ROW()-4&lt;=COUNT(Inventory_Data!$U$5:$U$104),ROW()-4,"")</f>
        <v>6</v>
      </c>
      <c r="B10" s="58" t="str">
        <f aca="false">IF($A10="","",INDEX(Inventory_Data!$B$5:$B$104,MATCH($A10,Inventory_Data!$U$5:$U$104,0)))</f>
        <v>S001</v>
      </c>
      <c r="C10" s="58" t="str">
        <f aca="false">IF($A10="","",INDEX(Inventory_Data!$C$5:$C$104,MATCH($A10,Inventory_Data!$U$5:$U$104,0)))</f>
        <v>P0003</v>
      </c>
      <c r="D10" s="58" t="str">
        <f aca="false">IF($A10="","",INDEX(Inventory_Data!$D$5:$D$104,MATCH($A10,Inventory_Data!$U$5:$U$104,0)))</f>
        <v>Toys</v>
      </c>
      <c r="E10" s="58" t="str">
        <f aca="false">IF($A10="","",INDEX(Inventory_Data!$E$5:$E$104,MATCH($A10,Inventory_Data!$U$5:$U$104,0)))</f>
        <v>East</v>
      </c>
      <c r="F10" s="58" t="n">
        <f aca="false">IF($A10="","",INDEX(Inventory_Data!$F$5:$F$104,MATCH($A10,Inventory_Data!$U$5:$U$104,0)))</f>
        <v>69</v>
      </c>
      <c r="G10" s="58" t="n">
        <f aca="false">IF($A10="","",INDEX(Inventory_Data!$G$5:$G$104,MATCH($A10,Inventory_Data!$U$5:$U$104,0)))</f>
        <v>77</v>
      </c>
      <c r="H10" s="59" t="str">
        <f aca="false">IF($A10="","",INDEX(Inventory_Data!$I$5:$I$104,MATCH($A10,Inventory_Data!$U$5:$U$104,0)))</f>
        <v>REORDER NOW</v>
      </c>
      <c r="I10" s="58" t="str">
        <f aca="false">IF($A10="","",INDEX(Inventory_Data!$N$5:$N$104,MATCH($A10,Inventory_Data!$U$5:$U$104,0)))</f>
        <v>HIGH</v>
      </c>
      <c r="J10" s="60" t="n">
        <f aca="false">IF($A10="","",INDEX(Inventory_Data!$M$5:$M$104,MATCH($A10,Inventory_Data!$U$5:$U$104,0)))</f>
        <v>5.2</v>
      </c>
      <c r="K10" s="58" t="n">
        <f aca="false">IF($A10="","",INDEX(Inventory_Data!$K$5:$K$104,MATCH($A10,Inventory_Data!$U$5:$U$104,0)))</f>
        <v>5</v>
      </c>
      <c r="L10" s="61" t="str">
        <f aca="false">IF($A10="","",INDEX(Inventory_Data!$J$5:$J$104,MATCH($A10,Inventory_Data!$U$5:$U$104,0)))</f>
        <v>PlayWorld Distributors</v>
      </c>
      <c r="M10" s="58" t="n">
        <f aca="false">IF($A10="","",INDEX(Inventory_Data!$O$5:$O$104,MATCH($A10,Inventory_Data!$U$5:$U$104,0)))</f>
        <v>162</v>
      </c>
      <c r="N10" s="62" t="n">
        <f aca="false">IF($A10="","",INDEX(Inventory_Data!$Q$5:$Q$104,MATCH($A10,Inventory_Data!$U$5:$U$104,0)))</f>
        <v>3554.28</v>
      </c>
      <c r="O10" s="63" t="n">
        <f aca="false">IF($A10="","",INDEX(Inventory_Data!$R$5:$R$104,MATCH($A10,Inventory_Data!$U$5:$U$104,0)))</f>
        <v>45297</v>
      </c>
      <c r="P10" s="61" t="str">
        <f aca="false">IF($A10="","",INDEX(Inventory_Data!$S$5:$S$104,MATCH($A10,Inventory_Data!$U$5:$U$104,0)))</f>
        <v>Raise purchase order today</v>
      </c>
    </row>
    <row r="11" customFormat="false" ht="15" hidden="false" customHeight="false" outlineLevel="0" collapsed="false">
      <c r="A11" s="57" t="n">
        <f aca="false">IF(ROW()-4&lt;=COUNT(Inventory_Data!$U$5:$U$104),ROW()-4,"")</f>
        <v>7</v>
      </c>
      <c r="B11" s="58" t="str">
        <f aca="false">IF($A11="","",INDEX(Inventory_Data!$B$5:$B$104,MATCH($A11,Inventory_Data!$U$5:$U$104,0)))</f>
        <v>S003</v>
      </c>
      <c r="C11" s="58" t="str">
        <f aca="false">IF($A11="","",INDEX(Inventory_Data!$C$5:$C$104,MATCH($A11,Inventory_Data!$U$5:$U$104,0)))</f>
        <v>P0007</v>
      </c>
      <c r="D11" s="58" t="str">
        <f aca="false">IF($A11="","",INDEX(Inventory_Data!$D$5:$D$104,MATCH($A11,Inventory_Data!$U$5:$U$104,0)))</f>
        <v>Electronics</v>
      </c>
      <c r="E11" s="58" t="str">
        <f aca="false">IF($A11="","",INDEX(Inventory_Data!$E$5:$E$104,MATCH($A11,Inventory_Data!$U$5:$U$104,0)))</f>
        <v>North</v>
      </c>
      <c r="F11" s="58" t="n">
        <f aca="false">IF($A11="","",INDEX(Inventory_Data!$F$5:$F$104,MATCH($A11,Inventory_Data!$U$5:$U$104,0)))</f>
        <v>108</v>
      </c>
      <c r="G11" s="58" t="n">
        <f aca="false">IF($A11="","",INDEX(Inventory_Data!$G$5:$G$104,MATCH($A11,Inventory_Data!$U$5:$U$104,0)))</f>
        <v>109</v>
      </c>
      <c r="H11" s="59" t="str">
        <f aca="false">IF($A11="","",INDEX(Inventory_Data!$I$5:$I$104,MATCH($A11,Inventory_Data!$U$5:$U$104,0)))</f>
        <v>REORDER NOW</v>
      </c>
      <c r="I11" s="58" t="str">
        <f aca="false">IF($A11="","",INDEX(Inventory_Data!$N$5:$N$104,MATCH($A11,Inventory_Data!$U$5:$U$104,0)))</f>
        <v>HIGH</v>
      </c>
      <c r="J11" s="60" t="n">
        <f aca="false">IF($A11="","",INDEX(Inventory_Data!$M$5:$M$104,MATCH($A11,Inventory_Data!$U$5:$U$104,0)))</f>
        <v>9.2</v>
      </c>
      <c r="K11" s="58" t="n">
        <f aca="false">IF($A11="","",INDEX(Inventory_Data!$K$5:$K$104,MATCH($A11,Inventory_Data!$U$5:$U$104,0)))</f>
        <v>7</v>
      </c>
      <c r="L11" s="61" t="str">
        <f aca="false">IF($A11="","",INDEX(Inventory_Data!$J$5:$J$104,MATCH($A11,Inventory_Data!$U$5:$U$104,0)))</f>
        <v>TechSource India</v>
      </c>
      <c r="M11" s="58" t="n">
        <f aca="false">IF($A11="","",INDEX(Inventory_Data!$O$5:$O$104,MATCH($A11,Inventory_Data!$U$5:$U$104,0)))</f>
        <v>219</v>
      </c>
      <c r="N11" s="62" t="n">
        <f aca="false">IF($A11="","",INDEX(Inventory_Data!$Q$5:$Q$104,MATCH($A11,Inventory_Data!$U$5:$U$104,0)))</f>
        <v>12016.53</v>
      </c>
      <c r="O11" s="63" t="n">
        <f aca="false">IF($A11="","",INDEX(Inventory_Data!$R$5:$R$104,MATCH($A11,Inventory_Data!$U$5:$U$104,0)))</f>
        <v>45299</v>
      </c>
      <c r="P11" s="61" t="str">
        <f aca="false">IF($A11="","",INDEX(Inventory_Data!$S$5:$S$104,MATCH($A11,Inventory_Data!$U$5:$U$104,0)))</f>
        <v>Raise purchase order today</v>
      </c>
    </row>
    <row r="12" customFormat="false" ht="15" hidden="false" customHeight="false" outlineLevel="0" collapsed="false">
      <c r="A12" s="57" t="n">
        <f aca="false">IF(ROW()-4&lt;=COUNT(Inventory_Data!$U$5:$U$104),ROW()-4,"")</f>
        <v>8</v>
      </c>
      <c r="B12" s="58" t="str">
        <f aca="false">IF($A12="","",INDEX(Inventory_Data!$B$5:$B$104,MATCH($A12,Inventory_Data!$U$5:$U$104,0)))</f>
        <v>S004</v>
      </c>
      <c r="C12" s="58" t="str">
        <f aca="false">IF($A12="","",INDEX(Inventory_Data!$C$5:$C$104,MATCH($A12,Inventory_Data!$U$5:$U$104,0)))</f>
        <v>P0020</v>
      </c>
      <c r="D12" s="58" t="str">
        <f aca="false">IF($A12="","",INDEX(Inventory_Data!$D$5:$D$104,MATCH($A12,Inventory_Data!$U$5:$U$104,0)))</f>
        <v>Toys</v>
      </c>
      <c r="E12" s="58" t="str">
        <f aca="false">IF($A12="","",INDEX(Inventory_Data!$E$5:$E$104,MATCH($A12,Inventory_Data!$U$5:$U$104,0)))</f>
        <v>West</v>
      </c>
      <c r="F12" s="58" t="n">
        <f aca="false">IF($A12="","",INDEX(Inventory_Data!$F$5:$F$104,MATCH($A12,Inventory_Data!$U$5:$U$104,0)))</f>
        <v>249</v>
      </c>
      <c r="G12" s="58" t="n">
        <f aca="false">IF($A12="","",INDEX(Inventory_Data!$G$5:$G$104,MATCH($A12,Inventory_Data!$U$5:$U$104,0)))</f>
        <v>248</v>
      </c>
      <c r="H12" s="59" t="str">
        <f aca="false">IF($A12="","",INDEX(Inventory_Data!$I$5:$I$104,MATCH($A12,Inventory_Data!$U$5:$U$104,0)))</f>
        <v>LOW STOCK</v>
      </c>
      <c r="I12" s="58" t="str">
        <f aca="false">IF($A12="","",INDEX(Inventory_Data!$N$5:$N$104,MATCH($A12,Inventory_Data!$U$5:$U$104,0)))</f>
        <v>MEDIUM</v>
      </c>
      <c r="J12" s="60" t="n">
        <f aca="false">IF($A12="","",INDEX(Inventory_Data!$M$5:$M$104,MATCH($A12,Inventory_Data!$U$5:$U$104,0)))</f>
        <v>5.9</v>
      </c>
      <c r="K12" s="58" t="n">
        <f aca="false">IF($A12="","",INDEX(Inventory_Data!$K$5:$K$104,MATCH($A12,Inventory_Data!$U$5:$U$104,0)))</f>
        <v>5</v>
      </c>
      <c r="L12" s="61" t="str">
        <f aca="false">IF($A12="","",INDEX(Inventory_Data!$J$5:$J$104,MATCH($A12,Inventory_Data!$U$5:$U$104,0)))</f>
        <v>PlayWorld Distributors</v>
      </c>
      <c r="M12" s="58" t="n">
        <f aca="false">IF($A12="","",INDEX(Inventory_Data!$O$5:$O$104,MATCH($A12,Inventory_Data!$U$5:$U$104,0)))</f>
        <v>495</v>
      </c>
      <c r="N12" s="62" t="n">
        <f aca="false">IF($A12="","",INDEX(Inventory_Data!$Q$5:$Q$104,MATCH($A12,Inventory_Data!$U$5:$U$104,0)))</f>
        <v>16270.65</v>
      </c>
      <c r="O12" s="63" t="n">
        <f aca="false">IF($A12="","",INDEX(Inventory_Data!$R$5:$R$104,MATCH($A12,Inventory_Data!$U$5:$U$104,0)))</f>
        <v>45297</v>
      </c>
      <c r="P12" s="61" t="str">
        <f aca="false">IF($A12="","",INDEX(Inventory_Data!$S$5:$S$104,MATCH($A12,Inventory_Data!$U$5:$U$104,0)))</f>
        <v>Plan reorder this week</v>
      </c>
    </row>
    <row r="13" customFormat="false" ht="15" hidden="false" customHeight="false" outlineLevel="0" collapsed="false">
      <c r="A13" s="57" t="n">
        <f aca="false">IF(ROW()-4&lt;=COUNT(Inventory_Data!$U$5:$U$104),ROW()-4,"")</f>
        <v>9</v>
      </c>
      <c r="B13" s="58" t="str">
        <f aca="false">IF($A13="","",INDEX(Inventory_Data!$B$5:$B$104,MATCH($A13,Inventory_Data!$U$5:$U$104,0)))</f>
        <v>S003</v>
      </c>
      <c r="C13" s="58" t="str">
        <f aca="false">IF($A13="","",INDEX(Inventory_Data!$C$5:$C$104,MATCH($A13,Inventory_Data!$U$5:$U$104,0)))</f>
        <v>P0010</v>
      </c>
      <c r="D13" s="58" t="str">
        <f aca="false">IF($A13="","",INDEX(Inventory_Data!$D$5:$D$104,MATCH($A13,Inventory_Data!$U$5:$U$104,0)))</f>
        <v>Furniture</v>
      </c>
      <c r="E13" s="58" t="str">
        <f aca="false">IF($A13="","",INDEX(Inventory_Data!$E$5:$E$104,MATCH($A13,Inventory_Data!$U$5:$U$104,0)))</f>
        <v>East</v>
      </c>
      <c r="F13" s="58" t="n">
        <f aca="false">IF($A13="","",INDEX(Inventory_Data!$F$5:$F$104,MATCH($A13,Inventory_Data!$U$5:$U$104,0)))</f>
        <v>413</v>
      </c>
      <c r="G13" s="58" t="n">
        <f aca="false">IF($A13="","",INDEX(Inventory_Data!$G$5:$G$104,MATCH($A13,Inventory_Data!$U$5:$U$104,0)))</f>
        <v>409</v>
      </c>
      <c r="H13" s="59" t="str">
        <f aca="false">IF($A13="","",INDEX(Inventory_Data!$I$5:$I$104,MATCH($A13,Inventory_Data!$U$5:$U$104,0)))</f>
        <v>LOW STOCK</v>
      </c>
      <c r="I13" s="58" t="str">
        <f aca="false">IF($A13="","",INDEX(Inventory_Data!$N$5:$N$104,MATCH($A13,Inventory_Data!$U$5:$U$104,0)))</f>
        <v>MEDIUM</v>
      </c>
      <c r="J13" s="60" t="n">
        <f aca="false">IF($A13="","",INDEX(Inventory_Data!$M$5:$M$104,MATCH($A13,Inventory_Data!$U$5:$U$104,0)))</f>
        <v>13.2</v>
      </c>
      <c r="K13" s="58" t="n">
        <f aca="false">IF($A13="","",INDEX(Inventory_Data!$K$5:$K$104,MATCH($A13,Inventory_Data!$U$5:$U$104,0)))</f>
        <v>12</v>
      </c>
      <c r="L13" s="61" t="str">
        <f aca="false">IF($A13="","",INDEX(Inventory_Data!$J$5:$J$104,MATCH($A13,Inventory_Data!$U$5:$U$104,0)))</f>
        <v>HomeCraft Suppliers</v>
      </c>
      <c r="M13" s="58" t="n">
        <f aca="false">IF($A13="","",INDEX(Inventory_Data!$O$5:$O$104,MATCH($A13,Inventory_Data!$U$5:$U$104,0)))</f>
        <v>814</v>
      </c>
      <c r="N13" s="62" t="n">
        <f aca="false">IF($A13="","",INDEX(Inventory_Data!$Q$5:$Q$104,MATCH($A13,Inventory_Data!$U$5:$U$104,0)))</f>
        <v>65828.18</v>
      </c>
      <c r="O13" s="63" t="n">
        <f aca="false">IF($A13="","",INDEX(Inventory_Data!$R$5:$R$104,MATCH($A13,Inventory_Data!$U$5:$U$104,0)))</f>
        <v>45304</v>
      </c>
      <c r="P13" s="61" t="str">
        <f aca="false">IF($A13="","",INDEX(Inventory_Data!$S$5:$S$104,MATCH($A13,Inventory_Data!$U$5:$U$104,0)))</f>
        <v>Plan reorder this week</v>
      </c>
    </row>
    <row r="14" customFormat="false" ht="15" hidden="false" customHeight="false" outlineLevel="0" collapsed="false">
      <c r="A14" s="57" t="n">
        <f aca="false">IF(ROW()-4&lt;=COUNT(Inventory_Data!$U$5:$U$104),ROW()-4,"")</f>
        <v>10</v>
      </c>
      <c r="B14" s="58" t="str">
        <f aca="false">IF($A14="","",INDEX(Inventory_Data!$B$5:$B$104,MATCH($A14,Inventory_Data!$U$5:$U$104,0)))</f>
        <v>S004</v>
      </c>
      <c r="C14" s="58" t="str">
        <f aca="false">IF($A14="","",INDEX(Inventory_Data!$C$5:$C$104,MATCH($A14,Inventory_Data!$U$5:$U$104,0)))</f>
        <v>P0008</v>
      </c>
      <c r="D14" s="58" t="str">
        <f aca="false">IF($A14="","",INDEX(Inventory_Data!$D$5:$D$104,MATCH($A14,Inventory_Data!$U$5:$U$104,0)))</f>
        <v>Furniture</v>
      </c>
      <c r="E14" s="58" t="str">
        <f aca="false">IF($A14="","",INDEX(Inventory_Data!$E$5:$E$104,MATCH($A14,Inventory_Data!$U$5:$U$104,0)))</f>
        <v>West</v>
      </c>
      <c r="F14" s="58" t="n">
        <f aca="false">IF($A14="","",INDEX(Inventory_Data!$F$5:$F$104,MATCH($A14,Inventory_Data!$U$5:$U$104,0)))</f>
        <v>390</v>
      </c>
      <c r="G14" s="58" t="n">
        <f aca="false">IF($A14="","",INDEX(Inventory_Data!$G$5:$G$104,MATCH($A14,Inventory_Data!$U$5:$U$104,0)))</f>
        <v>369</v>
      </c>
      <c r="H14" s="59" t="str">
        <f aca="false">IF($A14="","",INDEX(Inventory_Data!$I$5:$I$104,MATCH($A14,Inventory_Data!$U$5:$U$104,0)))</f>
        <v>LOW STOCK</v>
      </c>
      <c r="I14" s="58" t="str">
        <f aca="false">IF($A14="","",INDEX(Inventory_Data!$N$5:$N$104,MATCH($A14,Inventory_Data!$U$5:$U$104,0)))</f>
        <v>MEDIUM</v>
      </c>
      <c r="J14" s="60" t="n">
        <f aca="false">IF($A14="","",INDEX(Inventory_Data!$M$5:$M$104,MATCH($A14,Inventory_Data!$U$5:$U$104,0)))</f>
        <v>17.6</v>
      </c>
      <c r="K14" s="58" t="n">
        <f aca="false">IF($A14="","",INDEX(Inventory_Data!$K$5:$K$104,MATCH($A14,Inventory_Data!$U$5:$U$104,0)))</f>
        <v>12</v>
      </c>
      <c r="L14" s="61" t="str">
        <f aca="false">IF($A14="","",INDEX(Inventory_Data!$J$5:$J$104,MATCH($A14,Inventory_Data!$U$5:$U$104,0)))</f>
        <v>HomeCraft Suppliers</v>
      </c>
      <c r="M14" s="58" t="n">
        <f aca="false">IF($A14="","",INDEX(Inventory_Data!$O$5:$O$104,MATCH($A14,Inventory_Data!$U$5:$U$104,0)))</f>
        <v>717</v>
      </c>
      <c r="N14" s="62" t="n">
        <f aca="false">IF($A14="","",INDEX(Inventory_Data!$Q$5:$Q$104,MATCH($A14,Inventory_Data!$U$5:$U$104,0)))</f>
        <v>57833.22</v>
      </c>
      <c r="O14" s="63" t="n">
        <f aca="false">IF($A14="","",INDEX(Inventory_Data!$R$5:$R$104,MATCH($A14,Inventory_Data!$U$5:$U$104,0)))</f>
        <v>45304</v>
      </c>
      <c r="P14" s="61" t="str">
        <f aca="false">IF($A14="","",INDEX(Inventory_Data!$S$5:$S$104,MATCH($A14,Inventory_Data!$U$5:$U$104,0)))</f>
        <v>Plan reorder this week</v>
      </c>
    </row>
    <row r="15" customFormat="false" ht="15" hidden="false" customHeight="false" outlineLevel="0" collapsed="false">
      <c r="A15" s="57" t="n">
        <f aca="false">IF(ROW()-4&lt;=COUNT(Inventory_Data!$U$5:$U$104),ROW()-4,"")</f>
        <v>11</v>
      </c>
      <c r="B15" s="58" t="str">
        <f aca="false">IF($A15="","",INDEX(Inventory_Data!$B$5:$B$104,MATCH($A15,Inventory_Data!$U$5:$U$104,0)))</f>
        <v>S002</v>
      </c>
      <c r="C15" s="58" t="str">
        <f aca="false">IF($A15="","",INDEX(Inventory_Data!$C$5:$C$104,MATCH($A15,Inventory_Data!$U$5:$U$104,0)))</f>
        <v>P0006</v>
      </c>
      <c r="D15" s="58" t="str">
        <f aca="false">IF($A15="","",INDEX(Inventory_Data!$D$5:$D$104,MATCH($A15,Inventory_Data!$U$5:$U$104,0)))</f>
        <v>Toys</v>
      </c>
      <c r="E15" s="58" t="str">
        <f aca="false">IF($A15="","",INDEX(Inventory_Data!$E$5:$E$104,MATCH($A15,Inventory_Data!$U$5:$U$104,0)))</f>
        <v>East</v>
      </c>
      <c r="F15" s="58" t="n">
        <f aca="false">IF($A15="","",INDEX(Inventory_Data!$F$5:$F$104,MATCH($A15,Inventory_Data!$U$5:$U$104,0)))</f>
        <v>160</v>
      </c>
      <c r="G15" s="58" t="n">
        <f aca="false">IF($A15="","",INDEX(Inventory_Data!$G$5:$G$104,MATCH($A15,Inventory_Data!$U$5:$U$104,0)))</f>
        <v>151</v>
      </c>
      <c r="H15" s="59" t="str">
        <f aca="false">IF($A15="","",INDEX(Inventory_Data!$I$5:$I$104,MATCH($A15,Inventory_Data!$U$5:$U$104,0)))</f>
        <v>LOW STOCK</v>
      </c>
      <c r="I15" s="58" t="str">
        <f aca="false">IF($A15="","",INDEX(Inventory_Data!$N$5:$N$104,MATCH($A15,Inventory_Data!$U$5:$U$104,0)))</f>
        <v>MEDIUM</v>
      </c>
      <c r="J15" s="60" t="n">
        <f aca="false">IF($A15="","",INDEX(Inventory_Data!$M$5:$M$104,MATCH($A15,Inventory_Data!$U$5:$U$104,0)))</f>
        <v>5.9</v>
      </c>
      <c r="K15" s="58" t="n">
        <f aca="false">IF($A15="","",INDEX(Inventory_Data!$K$5:$K$104,MATCH($A15,Inventory_Data!$U$5:$U$104,0)))</f>
        <v>5</v>
      </c>
      <c r="L15" s="61" t="str">
        <f aca="false">IF($A15="","",INDEX(Inventory_Data!$J$5:$J$104,MATCH($A15,Inventory_Data!$U$5:$U$104,0)))</f>
        <v>PlayWorld Distributors</v>
      </c>
      <c r="M15" s="58" t="n">
        <f aca="false">IF($A15="","",INDEX(Inventory_Data!$O$5:$O$104,MATCH($A15,Inventory_Data!$U$5:$U$104,0)))</f>
        <v>293</v>
      </c>
      <c r="N15" s="62" t="n">
        <f aca="false">IF($A15="","",INDEX(Inventory_Data!$Q$5:$Q$104,MATCH($A15,Inventory_Data!$U$5:$U$104,0)))</f>
        <v>5584.58</v>
      </c>
      <c r="O15" s="63" t="n">
        <f aca="false">IF($A15="","",INDEX(Inventory_Data!$R$5:$R$104,MATCH($A15,Inventory_Data!$U$5:$U$104,0)))</f>
        <v>45297</v>
      </c>
      <c r="P15" s="61" t="str">
        <f aca="false">IF($A15="","",INDEX(Inventory_Data!$S$5:$S$104,MATCH($A15,Inventory_Data!$U$5:$U$104,0)))</f>
        <v>Plan reorder this week</v>
      </c>
    </row>
    <row r="16" customFormat="false" ht="15" hidden="false" customHeight="false" outlineLevel="0" collapsed="false">
      <c r="A16" s="57" t="n">
        <f aca="false">IF(ROW()-4&lt;=COUNT(Inventory_Data!$U$5:$U$104),ROW()-4,"")</f>
        <v>12</v>
      </c>
      <c r="B16" s="58" t="str">
        <f aca="false">IF($A16="","",INDEX(Inventory_Data!$B$5:$B$104,MATCH($A16,Inventory_Data!$U$5:$U$104,0)))</f>
        <v>S003</v>
      </c>
      <c r="C16" s="58" t="str">
        <f aca="false">IF($A16="","",INDEX(Inventory_Data!$C$5:$C$104,MATCH($A16,Inventory_Data!$U$5:$U$104,0)))</f>
        <v>P0012</v>
      </c>
      <c r="D16" s="58" t="str">
        <f aca="false">IF($A16="","",INDEX(Inventory_Data!$D$5:$D$104,MATCH($A16,Inventory_Data!$U$5:$U$104,0)))</f>
        <v>Clothing</v>
      </c>
      <c r="E16" s="58" t="str">
        <f aca="false">IF($A16="","",INDEX(Inventory_Data!$E$5:$E$104,MATCH($A16,Inventory_Data!$U$5:$U$104,0)))</f>
        <v>North</v>
      </c>
      <c r="F16" s="58" t="n">
        <f aca="false">IF($A16="","",INDEX(Inventory_Data!$F$5:$F$104,MATCH($A16,Inventory_Data!$U$5:$U$104,0)))</f>
        <v>108</v>
      </c>
      <c r="G16" s="58" t="n">
        <f aca="false">IF($A16="","",INDEX(Inventory_Data!$G$5:$G$104,MATCH($A16,Inventory_Data!$U$5:$U$104,0)))</f>
        <v>101</v>
      </c>
      <c r="H16" s="59" t="str">
        <f aca="false">IF($A16="","",INDEX(Inventory_Data!$I$5:$I$104,MATCH($A16,Inventory_Data!$U$5:$U$104,0)))</f>
        <v>LOW STOCK</v>
      </c>
      <c r="I16" s="58" t="str">
        <f aca="false">IF($A16="","",INDEX(Inventory_Data!$N$5:$N$104,MATCH($A16,Inventory_Data!$U$5:$U$104,0)))</f>
        <v>MEDIUM</v>
      </c>
      <c r="J16" s="60" t="n">
        <f aca="false">IF($A16="","",INDEX(Inventory_Data!$M$5:$M$104,MATCH($A16,Inventory_Data!$U$5:$U$104,0)))</f>
        <v>7.8</v>
      </c>
      <c r="K16" s="58" t="n">
        <f aca="false">IF($A16="","",INDEX(Inventory_Data!$K$5:$K$104,MATCH($A16,Inventory_Data!$U$5:$U$104,0)))</f>
        <v>6</v>
      </c>
      <c r="L16" s="61" t="str">
        <f aca="false">IF($A16="","",INDEX(Inventory_Data!$J$5:$J$104,MATCH($A16,Inventory_Data!$U$5:$U$104,0)))</f>
        <v>StyleHub Wholesale</v>
      </c>
      <c r="M16" s="58" t="n">
        <f aca="false">IF($A16="","",INDEX(Inventory_Data!$O$5:$O$104,MATCH($A16,Inventory_Data!$U$5:$U$104,0)))</f>
        <v>195</v>
      </c>
      <c r="N16" s="62" t="n">
        <f aca="false">IF($A16="","",INDEX(Inventory_Data!$Q$5:$Q$104,MATCH($A16,Inventory_Data!$U$5:$U$104,0)))</f>
        <v>16489.2</v>
      </c>
      <c r="O16" s="63" t="n">
        <f aca="false">IF($A16="","",INDEX(Inventory_Data!$R$5:$R$104,MATCH($A16,Inventory_Data!$U$5:$U$104,0)))</f>
        <v>45298</v>
      </c>
      <c r="P16" s="61" t="str">
        <f aca="false">IF($A16="","",INDEX(Inventory_Data!$S$5:$S$104,MATCH($A16,Inventory_Data!$U$5:$U$104,0)))</f>
        <v>Plan reorder this week</v>
      </c>
    </row>
    <row r="17" customFormat="false" ht="15" hidden="false" customHeight="false" outlineLevel="0" collapsed="false">
      <c r="A17" s="57" t="n">
        <f aca="false">IF(ROW()-4&lt;=COUNT(Inventory_Data!$U$5:$U$104),ROW()-4,"")</f>
        <v>13</v>
      </c>
      <c r="B17" s="58" t="str">
        <f aca="false">IF($A17="","",INDEX(Inventory_Data!$B$5:$B$104,MATCH($A17,Inventory_Data!$U$5:$U$104,0)))</f>
        <v>S005</v>
      </c>
      <c r="C17" s="58" t="str">
        <f aca="false">IF($A17="","",INDEX(Inventory_Data!$C$5:$C$104,MATCH($A17,Inventory_Data!$U$5:$U$104,0)))</f>
        <v>P0011</v>
      </c>
      <c r="D17" s="58" t="str">
        <f aca="false">IF($A17="","",INDEX(Inventory_Data!$D$5:$D$104,MATCH($A17,Inventory_Data!$U$5:$U$104,0)))</f>
        <v>Groceries</v>
      </c>
      <c r="E17" s="58" t="str">
        <f aca="false">IF($A17="","",INDEX(Inventory_Data!$E$5:$E$104,MATCH($A17,Inventory_Data!$U$5:$U$104,0)))</f>
        <v>North</v>
      </c>
      <c r="F17" s="58" t="n">
        <f aca="false">IF($A17="","",INDEX(Inventory_Data!$F$5:$F$104,MATCH($A17,Inventory_Data!$U$5:$U$104,0)))</f>
        <v>156</v>
      </c>
      <c r="G17" s="58" t="n">
        <f aca="false">IF($A17="","",INDEX(Inventory_Data!$G$5:$G$104,MATCH($A17,Inventory_Data!$U$5:$U$104,0)))</f>
        <v>137</v>
      </c>
      <c r="H17" s="59" t="str">
        <f aca="false">IF($A17="","",INDEX(Inventory_Data!$I$5:$I$104,MATCH($A17,Inventory_Data!$U$5:$U$104,0)))</f>
        <v>LOW STOCK</v>
      </c>
      <c r="I17" s="58" t="str">
        <f aca="false">IF($A17="","",INDEX(Inventory_Data!$N$5:$N$104,MATCH($A17,Inventory_Data!$U$5:$U$104,0)))</f>
        <v>MEDIUM</v>
      </c>
      <c r="J17" s="60" t="n">
        <f aca="false">IF($A17="","",INDEX(Inventory_Data!$M$5:$M$104,MATCH($A17,Inventory_Data!$U$5:$U$104,0)))</f>
        <v>3</v>
      </c>
      <c r="K17" s="58" t="n">
        <f aca="false">IF($A17="","",INDEX(Inventory_Data!$K$5:$K$104,MATCH($A17,Inventory_Data!$U$5:$U$104,0)))</f>
        <v>2</v>
      </c>
      <c r="L17" s="61" t="str">
        <f aca="false">IF($A17="","",INDEX(Inventory_Data!$J$5:$J$104,MATCH($A17,Inventory_Data!$U$5:$U$104,0)))</f>
        <v>FreshLink Traders</v>
      </c>
      <c r="M17" s="58" t="n">
        <f aca="false">IF($A17="","",INDEX(Inventory_Data!$O$5:$O$104,MATCH($A17,Inventory_Data!$U$5:$U$104,0)))</f>
        <v>255</v>
      </c>
      <c r="N17" s="62" t="n">
        <f aca="false">IF($A17="","",INDEX(Inventory_Data!$Q$5:$Q$104,MATCH($A17,Inventory_Data!$U$5:$U$104,0)))</f>
        <v>21952.95</v>
      </c>
      <c r="O17" s="63" t="n">
        <f aca="false">IF($A17="","",INDEX(Inventory_Data!$R$5:$R$104,MATCH($A17,Inventory_Data!$U$5:$U$104,0)))</f>
        <v>45294</v>
      </c>
      <c r="P17" s="61" t="str">
        <f aca="false">IF($A17="","",INDEX(Inventory_Data!$S$5:$S$104,MATCH($A17,Inventory_Data!$U$5:$U$104,0)))</f>
        <v>Plan reorder this week</v>
      </c>
    </row>
    <row r="18" customFormat="false" ht="15" hidden="false" customHeight="false" outlineLevel="0" collapsed="false">
      <c r="A18" s="57" t="n">
        <f aca="false">IF(ROW()-4&lt;=COUNT(Inventory_Data!$U$5:$U$104),ROW()-4,"")</f>
        <v>14</v>
      </c>
      <c r="B18" s="58" t="str">
        <f aca="false">IF($A18="","",INDEX(Inventory_Data!$B$5:$B$104,MATCH($A18,Inventory_Data!$U$5:$U$104,0)))</f>
        <v>S003</v>
      </c>
      <c r="C18" s="58" t="str">
        <f aca="false">IF($A18="","",INDEX(Inventory_Data!$C$5:$C$104,MATCH($A18,Inventory_Data!$U$5:$U$104,0)))</f>
        <v>P0001</v>
      </c>
      <c r="D18" s="58" t="str">
        <f aca="false">IF($A18="","",INDEX(Inventory_Data!$D$5:$D$104,MATCH($A18,Inventory_Data!$U$5:$U$104,0)))</f>
        <v>Clothing</v>
      </c>
      <c r="E18" s="58" t="str">
        <f aca="false">IF($A18="","",INDEX(Inventory_Data!$E$5:$E$104,MATCH($A18,Inventory_Data!$U$5:$U$104,0)))</f>
        <v>West</v>
      </c>
      <c r="F18" s="58" t="n">
        <f aca="false">IF($A18="","",INDEX(Inventory_Data!$F$5:$F$104,MATCH($A18,Inventory_Data!$U$5:$U$104,0)))</f>
        <v>138</v>
      </c>
      <c r="G18" s="58" t="n">
        <f aca="false">IF($A18="","",INDEX(Inventory_Data!$G$5:$G$104,MATCH($A18,Inventory_Data!$U$5:$U$104,0)))</f>
        <v>120</v>
      </c>
      <c r="H18" s="59" t="str">
        <f aca="false">IF($A18="","",INDEX(Inventory_Data!$I$5:$I$104,MATCH($A18,Inventory_Data!$U$5:$U$104,0)))</f>
        <v>LOW STOCK</v>
      </c>
      <c r="I18" s="58" t="str">
        <f aca="false">IF($A18="","",INDEX(Inventory_Data!$N$5:$N$104,MATCH($A18,Inventory_Data!$U$5:$U$104,0)))</f>
        <v>MEDIUM</v>
      </c>
      <c r="J18" s="60" t="n">
        <f aca="false">IF($A18="","",INDEX(Inventory_Data!$M$5:$M$104,MATCH($A18,Inventory_Data!$U$5:$U$104,0)))</f>
        <v>6.1</v>
      </c>
      <c r="K18" s="58" t="n">
        <f aca="false">IF($A18="","",INDEX(Inventory_Data!$K$5:$K$104,MATCH($A18,Inventory_Data!$U$5:$U$104,0)))</f>
        <v>6</v>
      </c>
      <c r="L18" s="61" t="str">
        <f aca="false">IF($A18="","",INDEX(Inventory_Data!$J$5:$J$104,MATCH($A18,Inventory_Data!$U$5:$U$104,0)))</f>
        <v>StyleHub Wholesale</v>
      </c>
      <c r="M18" s="58" t="n">
        <f aca="false">IF($A18="","",INDEX(Inventory_Data!$O$5:$O$104,MATCH($A18,Inventory_Data!$U$5:$U$104,0)))</f>
        <v>222</v>
      </c>
      <c r="N18" s="62" t="n">
        <f aca="false">IF($A18="","",INDEX(Inventory_Data!$Q$5:$Q$104,MATCH($A18,Inventory_Data!$U$5:$U$104,0)))</f>
        <v>11703.84</v>
      </c>
      <c r="O18" s="63" t="n">
        <f aca="false">IF($A18="","",INDEX(Inventory_Data!$R$5:$R$104,MATCH($A18,Inventory_Data!$U$5:$U$104,0)))</f>
        <v>45298</v>
      </c>
      <c r="P18" s="61" t="str">
        <f aca="false">IF($A18="","",INDEX(Inventory_Data!$S$5:$S$104,MATCH($A18,Inventory_Data!$U$5:$U$104,0)))</f>
        <v>Plan reorder this week</v>
      </c>
    </row>
    <row r="19" customFormat="false" ht="15" hidden="false" customHeight="false" outlineLevel="0" collapsed="false">
      <c r="A19" s="57" t="n">
        <f aca="false">IF(ROW()-4&lt;=COUNT(Inventory_Data!$U$5:$U$104),ROW()-4,"")</f>
        <v>15</v>
      </c>
      <c r="B19" s="58" t="str">
        <f aca="false">IF($A19="","",INDEX(Inventory_Data!$B$5:$B$104,MATCH($A19,Inventory_Data!$U$5:$U$104,0)))</f>
        <v>S003</v>
      </c>
      <c r="C19" s="58" t="str">
        <f aca="false">IF($A19="","",INDEX(Inventory_Data!$C$5:$C$104,MATCH($A19,Inventory_Data!$U$5:$U$104,0)))</f>
        <v>P0016</v>
      </c>
      <c r="D19" s="58" t="str">
        <f aca="false">IF($A19="","",INDEX(Inventory_Data!$D$5:$D$104,MATCH($A19,Inventory_Data!$U$5:$U$104,0)))</f>
        <v>Furniture</v>
      </c>
      <c r="E19" s="58" t="str">
        <f aca="false">IF($A19="","",INDEX(Inventory_Data!$E$5:$E$104,MATCH($A19,Inventory_Data!$U$5:$U$104,0)))</f>
        <v>East</v>
      </c>
      <c r="F19" s="58" t="n">
        <f aca="false">IF($A19="","",INDEX(Inventory_Data!$F$5:$F$104,MATCH($A19,Inventory_Data!$U$5:$U$104,0)))</f>
        <v>166</v>
      </c>
      <c r="G19" s="58" t="n">
        <f aca="false">IF($A19="","",INDEX(Inventory_Data!$G$5:$G$104,MATCH($A19,Inventory_Data!$U$5:$U$104,0)))</f>
        <v>144</v>
      </c>
      <c r="H19" s="59" t="str">
        <f aca="false">IF($A19="","",INDEX(Inventory_Data!$I$5:$I$104,MATCH($A19,Inventory_Data!$U$5:$U$104,0)))</f>
        <v>LOW STOCK</v>
      </c>
      <c r="I19" s="58" t="str">
        <f aca="false">IF($A19="","",INDEX(Inventory_Data!$N$5:$N$104,MATCH($A19,Inventory_Data!$U$5:$U$104,0)))</f>
        <v>MEDIUM</v>
      </c>
      <c r="J19" s="60" t="n">
        <f aca="false">IF($A19="","",INDEX(Inventory_Data!$M$5:$M$104,MATCH($A19,Inventory_Data!$U$5:$U$104,0)))</f>
        <v>13</v>
      </c>
      <c r="K19" s="58" t="n">
        <f aca="false">IF($A19="","",INDEX(Inventory_Data!$K$5:$K$104,MATCH($A19,Inventory_Data!$U$5:$U$104,0)))</f>
        <v>12</v>
      </c>
      <c r="L19" s="61" t="str">
        <f aca="false">IF($A19="","",INDEX(Inventory_Data!$J$5:$J$104,MATCH($A19,Inventory_Data!$U$5:$U$104,0)))</f>
        <v>HomeCraft Suppliers</v>
      </c>
      <c r="M19" s="58" t="n">
        <f aca="false">IF($A19="","",INDEX(Inventory_Data!$O$5:$O$104,MATCH($A19,Inventory_Data!$U$5:$U$104,0)))</f>
        <v>266</v>
      </c>
      <c r="N19" s="62" t="n">
        <f aca="false">IF($A19="","",INDEX(Inventory_Data!$Q$5:$Q$104,MATCH($A19,Inventory_Data!$U$5:$U$104,0)))</f>
        <v>14675.22</v>
      </c>
      <c r="O19" s="63" t="n">
        <f aca="false">IF($A19="","",INDEX(Inventory_Data!$R$5:$R$104,MATCH($A19,Inventory_Data!$U$5:$U$104,0)))</f>
        <v>45304</v>
      </c>
      <c r="P19" s="61" t="str">
        <f aca="false">IF($A19="","",INDEX(Inventory_Data!$S$5:$S$104,MATCH($A19,Inventory_Data!$U$5:$U$104,0)))</f>
        <v>Plan reorder this week</v>
      </c>
    </row>
    <row r="20" customFormat="false" ht="15" hidden="false" customHeight="false" outlineLevel="0" collapsed="false">
      <c r="A20" s="57" t="n">
        <f aca="false">IF(ROW()-4&lt;=COUNT(Inventory_Data!$U$5:$U$104),ROW()-4,"")</f>
        <v>16</v>
      </c>
      <c r="B20" s="58" t="str">
        <f aca="false">IF($A20="","",INDEX(Inventory_Data!$B$5:$B$104,MATCH($A20,Inventory_Data!$U$5:$U$104,0)))</f>
        <v>S004</v>
      </c>
      <c r="C20" s="58" t="str">
        <f aca="false">IF($A20="","",INDEX(Inventory_Data!$C$5:$C$104,MATCH($A20,Inventory_Data!$U$5:$U$104,0)))</f>
        <v>P0007</v>
      </c>
      <c r="D20" s="58" t="str">
        <f aca="false">IF($A20="","",INDEX(Inventory_Data!$D$5:$D$104,MATCH($A20,Inventory_Data!$U$5:$U$104,0)))</f>
        <v>Electronics</v>
      </c>
      <c r="E20" s="58" t="str">
        <f aca="false">IF($A20="","",INDEX(Inventory_Data!$E$5:$E$104,MATCH($A20,Inventory_Data!$U$5:$U$104,0)))</f>
        <v>South</v>
      </c>
      <c r="F20" s="58" t="n">
        <f aca="false">IF($A20="","",INDEX(Inventory_Data!$F$5:$F$104,MATCH($A20,Inventory_Data!$U$5:$U$104,0)))</f>
        <v>134</v>
      </c>
      <c r="G20" s="58" t="n">
        <f aca="false">IF($A20="","",INDEX(Inventory_Data!$G$5:$G$104,MATCH($A20,Inventory_Data!$U$5:$U$104,0)))</f>
        <v>116</v>
      </c>
      <c r="H20" s="59" t="str">
        <f aca="false">IF($A20="","",INDEX(Inventory_Data!$I$5:$I$104,MATCH($A20,Inventory_Data!$U$5:$U$104,0)))</f>
        <v>LOW STOCK</v>
      </c>
      <c r="I20" s="58" t="str">
        <f aca="false">IF($A20="","",INDEX(Inventory_Data!$N$5:$N$104,MATCH($A20,Inventory_Data!$U$5:$U$104,0)))</f>
        <v>MEDIUM</v>
      </c>
      <c r="J20" s="60" t="n">
        <f aca="false">IF($A20="","",INDEX(Inventory_Data!$M$5:$M$104,MATCH($A20,Inventory_Data!$U$5:$U$104,0)))</f>
        <v>9.6</v>
      </c>
      <c r="K20" s="58" t="n">
        <f aca="false">IF($A20="","",INDEX(Inventory_Data!$K$5:$K$104,MATCH($A20,Inventory_Data!$U$5:$U$104,0)))</f>
        <v>7</v>
      </c>
      <c r="L20" s="61" t="str">
        <f aca="false">IF($A20="","",INDEX(Inventory_Data!$J$5:$J$104,MATCH($A20,Inventory_Data!$U$5:$U$104,0)))</f>
        <v>TechSource India</v>
      </c>
      <c r="M20" s="58" t="n">
        <f aca="false">IF($A20="","",INDEX(Inventory_Data!$O$5:$O$104,MATCH($A20,Inventory_Data!$U$5:$U$104,0)))</f>
        <v>214</v>
      </c>
      <c r="N20" s="62" t="n">
        <f aca="false">IF($A20="","",INDEX(Inventory_Data!$Q$5:$Q$104,MATCH($A20,Inventory_Data!$U$5:$U$104,0)))</f>
        <v>5874.3</v>
      </c>
      <c r="O20" s="63" t="n">
        <f aca="false">IF($A20="","",INDEX(Inventory_Data!$R$5:$R$104,MATCH($A20,Inventory_Data!$U$5:$U$104,0)))</f>
        <v>45299</v>
      </c>
      <c r="P20" s="61" t="str">
        <f aca="false">IF($A20="","",INDEX(Inventory_Data!$S$5:$S$104,MATCH($A20,Inventory_Data!$U$5:$U$104,0)))</f>
        <v>Plan reorder this week</v>
      </c>
    </row>
    <row r="21" customFormat="false" ht="15" hidden="false" customHeight="false" outlineLevel="0" collapsed="false">
      <c r="A21" s="57" t="n">
        <f aca="false">IF(ROW()-4&lt;=COUNT(Inventory_Data!$U$5:$U$104),ROW()-4,"")</f>
        <v>17</v>
      </c>
      <c r="B21" s="58" t="str">
        <f aca="false">IF($A21="","",INDEX(Inventory_Data!$B$5:$B$104,MATCH($A21,Inventory_Data!$U$5:$U$104,0)))</f>
        <v>S005</v>
      </c>
      <c r="C21" s="58" t="str">
        <f aca="false">IF($A21="","",INDEX(Inventory_Data!$C$5:$C$104,MATCH($A21,Inventory_Data!$U$5:$U$104,0)))</f>
        <v>P0015</v>
      </c>
      <c r="D21" s="58" t="str">
        <f aca="false">IF($A21="","",INDEX(Inventory_Data!$D$5:$D$104,MATCH($A21,Inventory_Data!$U$5:$U$104,0)))</f>
        <v>Furniture</v>
      </c>
      <c r="E21" s="58" t="str">
        <f aca="false">IF($A21="","",INDEX(Inventory_Data!$E$5:$E$104,MATCH($A21,Inventory_Data!$U$5:$U$104,0)))</f>
        <v>North</v>
      </c>
      <c r="F21" s="58" t="n">
        <f aca="false">IF($A21="","",INDEX(Inventory_Data!$F$5:$F$104,MATCH($A21,Inventory_Data!$U$5:$U$104,0)))</f>
        <v>408</v>
      </c>
      <c r="G21" s="58" t="n">
        <f aca="false">IF($A21="","",INDEX(Inventory_Data!$G$5:$G$104,MATCH($A21,Inventory_Data!$U$5:$U$104,0)))</f>
        <v>337</v>
      </c>
      <c r="H21" s="59" t="str">
        <f aca="false">IF($A21="","",INDEX(Inventory_Data!$I$5:$I$104,MATCH($A21,Inventory_Data!$U$5:$U$104,0)))</f>
        <v>LOW STOCK</v>
      </c>
      <c r="I21" s="58" t="str">
        <f aca="false">IF($A21="","",INDEX(Inventory_Data!$N$5:$N$104,MATCH($A21,Inventory_Data!$U$5:$U$104,0)))</f>
        <v>MEDIUM</v>
      </c>
      <c r="J21" s="60" t="n">
        <f aca="false">IF($A21="","",INDEX(Inventory_Data!$M$5:$M$104,MATCH($A21,Inventory_Data!$U$5:$U$104,0)))</f>
        <v>19.7</v>
      </c>
      <c r="K21" s="58" t="n">
        <f aca="false">IF($A21="","",INDEX(Inventory_Data!$K$5:$K$104,MATCH($A21,Inventory_Data!$U$5:$U$104,0)))</f>
        <v>12</v>
      </c>
      <c r="L21" s="61" t="str">
        <f aca="false">IF($A21="","",INDEX(Inventory_Data!$J$5:$J$104,MATCH($A21,Inventory_Data!$U$5:$U$104,0)))</f>
        <v>HomeCraft Suppliers</v>
      </c>
      <c r="M21" s="58" t="n">
        <f aca="false">IF($A21="","",INDEX(Inventory_Data!$O$5:$O$104,MATCH($A21,Inventory_Data!$U$5:$U$104,0)))</f>
        <v>603</v>
      </c>
      <c r="N21" s="62" t="n">
        <f aca="false">IF($A21="","",INDEX(Inventory_Data!$Q$5:$Q$104,MATCH($A21,Inventory_Data!$U$5:$U$104,0)))</f>
        <v>50205.78</v>
      </c>
      <c r="O21" s="63" t="n">
        <f aca="false">IF($A21="","",INDEX(Inventory_Data!$R$5:$R$104,MATCH($A21,Inventory_Data!$U$5:$U$104,0)))</f>
        <v>45304</v>
      </c>
      <c r="P21" s="61" t="str">
        <f aca="false">IF($A21="","",INDEX(Inventory_Data!$S$5:$S$104,MATCH($A21,Inventory_Data!$U$5:$U$104,0)))</f>
        <v>Plan reorder this week</v>
      </c>
    </row>
    <row r="22" customFormat="false" ht="15" hidden="false" customHeight="false" outlineLevel="0" collapsed="false">
      <c r="A22" s="57" t="n">
        <f aca="false">IF(ROW()-4&lt;=COUNT(Inventory_Data!$U$5:$U$104),ROW()-4,"")</f>
        <v>18</v>
      </c>
      <c r="B22" s="58" t="str">
        <f aca="false">IF($A22="","",INDEX(Inventory_Data!$B$5:$B$104,MATCH($A22,Inventory_Data!$U$5:$U$104,0)))</f>
        <v>S002</v>
      </c>
      <c r="C22" s="58" t="str">
        <f aca="false">IF($A22="","",INDEX(Inventory_Data!$C$5:$C$104,MATCH($A22,Inventory_Data!$U$5:$U$104,0)))</f>
        <v>P0010</v>
      </c>
      <c r="D22" s="58" t="str">
        <f aca="false">IF($A22="","",INDEX(Inventory_Data!$D$5:$D$104,MATCH($A22,Inventory_Data!$U$5:$U$104,0)))</f>
        <v>Toys</v>
      </c>
      <c r="E22" s="58" t="str">
        <f aca="false">IF($A22="","",INDEX(Inventory_Data!$E$5:$E$104,MATCH($A22,Inventory_Data!$U$5:$U$104,0)))</f>
        <v>West</v>
      </c>
      <c r="F22" s="58" t="n">
        <f aca="false">IF($A22="","",INDEX(Inventory_Data!$F$5:$F$104,MATCH($A22,Inventory_Data!$U$5:$U$104,0)))</f>
        <v>419</v>
      </c>
      <c r="G22" s="58" t="n">
        <f aca="false">IF($A22="","",INDEX(Inventory_Data!$G$5:$G$104,MATCH($A22,Inventory_Data!$U$5:$U$104,0)))</f>
        <v>346</v>
      </c>
      <c r="H22" s="59" t="str">
        <f aca="false">IF($A22="","",INDEX(Inventory_Data!$I$5:$I$104,MATCH($A22,Inventory_Data!$U$5:$U$104,0)))</f>
        <v>LOW STOCK</v>
      </c>
      <c r="I22" s="58" t="str">
        <f aca="false">IF($A22="","",INDEX(Inventory_Data!$N$5:$N$104,MATCH($A22,Inventory_Data!$U$5:$U$104,0)))</f>
        <v>MEDIUM</v>
      </c>
      <c r="J22" s="60" t="n">
        <f aca="false">IF($A22="","",INDEX(Inventory_Data!$M$5:$M$104,MATCH($A22,Inventory_Data!$U$5:$U$104,0)))</f>
        <v>5.7</v>
      </c>
      <c r="K22" s="58" t="n">
        <f aca="false">IF($A22="","",INDEX(Inventory_Data!$K$5:$K$104,MATCH($A22,Inventory_Data!$U$5:$U$104,0)))</f>
        <v>5</v>
      </c>
      <c r="L22" s="61" t="str">
        <f aca="false">IF($A22="","",INDEX(Inventory_Data!$J$5:$J$104,MATCH($A22,Inventory_Data!$U$5:$U$104,0)))</f>
        <v>PlayWorld Distributors</v>
      </c>
      <c r="M22" s="58" t="n">
        <f aca="false">IF($A22="","",INDEX(Inventory_Data!$O$5:$O$104,MATCH($A22,Inventory_Data!$U$5:$U$104,0)))</f>
        <v>619</v>
      </c>
      <c r="N22" s="62" t="n">
        <f aca="false">IF($A22="","",INDEX(Inventory_Data!$Q$5:$Q$104,MATCH($A22,Inventory_Data!$U$5:$U$104,0)))</f>
        <v>20724.12</v>
      </c>
      <c r="O22" s="63" t="n">
        <f aca="false">IF($A22="","",INDEX(Inventory_Data!$R$5:$R$104,MATCH($A22,Inventory_Data!$U$5:$U$104,0)))</f>
        <v>45297</v>
      </c>
      <c r="P22" s="61" t="str">
        <f aca="false">IF($A22="","",INDEX(Inventory_Data!$S$5:$S$104,MATCH($A22,Inventory_Data!$U$5:$U$104,0)))</f>
        <v>Plan reorder this week</v>
      </c>
    </row>
    <row r="23" customFormat="false" ht="15" hidden="false" customHeight="false" outlineLevel="0" collapsed="false">
      <c r="A23" s="57" t="n">
        <f aca="false">IF(ROW()-4&lt;=COUNT(Inventory_Data!$U$5:$U$104),ROW()-4,"")</f>
        <v>19</v>
      </c>
      <c r="B23" s="58" t="str">
        <f aca="false">IF($A23="","",INDEX(Inventory_Data!$B$5:$B$104,MATCH($A23,Inventory_Data!$U$5:$U$104,0)))</f>
        <v>S003</v>
      </c>
      <c r="C23" s="58" t="str">
        <f aca="false">IF($A23="","",INDEX(Inventory_Data!$C$5:$C$104,MATCH($A23,Inventory_Data!$U$5:$U$104,0)))</f>
        <v>P0006</v>
      </c>
      <c r="D23" s="58" t="str">
        <f aca="false">IF($A23="","",INDEX(Inventory_Data!$D$5:$D$104,MATCH($A23,Inventory_Data!$U$5:$U$104,0)))</f>
        <v>Furniture</v>
      </c>
      <c r="E23" s="58" t="str">
        <f aca="false">IF($A23="","",INDEX(Inventory_Data!$E$5:$E$104,MATCH($A23,Inventory_Data!$U$5:$U$104,0)))</f>
        <v>North</v>
      </c>
      <c r="F23" s="58" t="n">
        <f aca="false">IF($A23="","",INDEX(Inventory_Data!$F$5:$F$104,MATCH($A23,Inventory_Data!$U$5:$U$104,0)))</f>
        <v>451</v>
      </c>
      <c r="G23" s="58" t="n">
        <f aca="false">IF($A23="","",INDEX(Inventory_Data!$G$5:$G$104,MATCH($A23,Inventory_Data!$U$5:$U$104,0)))</f>
        <v>372</v>
      </c>
      <c r="H23" s="59" t="str">
        <f aca="false">IF($A23="","",INDEX(Inventory_Data!$I$5:$I$104,MATCH($A23,Inventory_Data!$U$5:$U$104,0)))</f>
        <v>LOW STOCK</v>
      </c>
      <c r="I23" s="58" t="str">
        <f aca="false">IF($A23="","",INDEX(Inventory_Data!$N$5:$N$104,MATCH($A23,Inventory_Data!$U$5:$U$104,0)))</f>
        <v>MEDIUM</v>
      </c>
      <c r="J23" s="60" t="n">
        <f aca="false">IF($A23="","",INDEX(Inventory_Data!$M$5:$M$104,MATCH($A23,Inventory_Data!$U$5:$U$104,0)))</f>
        <v>17.3</v>
      </c>
      <c r="K23" s="58" t="n">
        <f aca="false">IF($A23="","",INDEX(Inventory_Data!$K$5:$K$104,MATCH($A23,Inventory_Data!$U$5:$U$104,0)))</f>
        <v>12</v>
      </c>
      <c r="L23" s="61" t="str">
        <f aca="false">IF($A23="","",INDEX(Inventory_Data!$J$5:$J$104,MATCH($A23,Inventory_Data!$U$5:$U$104,0)))</f>
        <v>HomeCraft Suppliers</v>
      </c>
      <c r="M23" s="58" t="n">
        <f aca="false">IF($A23="","",INDEX(Inventory_Data!$O$5:$O$104,MATCH($A23,Inventory_Data!$U$5:$U$104,0)))</f>
        <v>665</v>
      </c>
      <c r="N23" s="62" t="n">
        <f aca="false">IF($A23="","",INDEX(Inventory_Data!$Q$5:$Q$104,MATCH($A23,Inventory_Data!$U$5:$U$104,0)))</f>
        <v>16219.35</v>
      </c>
      <c r="O23" s="63" t="n">
        <f aca="false">IF($A23="","",INDEX(Inventory_Data!$R$5:$R$104,MATCH($A23,Inventory_Data!$U$5:$U$104,0)))</f>
        <v>45304</v>
      </c>
      <c r="P23" s="61" t="str">
        <f aca="false">IF($A23="","",INDEX(Inventory_Data!$S$5:$S$104,MATCH($A23,Inventory_Data!$U$5:$U$104,0)))</f>
        <v>Plan reorder this week</v>
      </c>
    </row>
    <row r="24" customFormat="false" ht="15" hidden="false" customHeight="false" outlineLevel="0" collapsed="false">
      <c r="A24" s="57" t="n">
        <f aca="false">IF(ROW()-4&lt;=COUNT(Inventory_Data!$U$5:$U$104),ROW()-4,"")</f>
        <v>20</v>
      </c>
      <c r="B24" s="58" t="str">
        <f aca="false">IF($A24="","",INDEX(Inventory_Data!$B$5:$B$104,MATCH($A24,Inventory_Data!$U$5:$U$104,0)))</f>
        <v>S003</v>
      </c>
      <c r="C24" s="58" t="str">
        <f aca="false">IF($A24="","",INDEX(Inventory_Data!$C$5:$C$104,MATCH($A24,Inventory_Data!$U$5:$U$104,0)))</f>
        <v>P0008</v>
      </c>
      <c r="D24" s="58" t="str">
        <f aca="false">IF($A24="","",INDEX(Inventory_Data!$D$5:$D$104,MATCH($A24,Inventory_Data!$U$5:$U$104,0)))</f>
        <v>Furniture</v>
      </c>
      <c r="E24" s="58" t="str">
        <f aca="false">IF($A24="","",INDEX(Inventory_Data!$E$5:$E$104,MATCH($A24,Inventory_Data!$U$5:$U$104,0)))</f>
        <v>North</v>
      </c>
      <c r="F24" s="58" t="n">
        <f aca="false">IF($A24="","",INDEX(Inventory_Data!$F$5:$F$104,MATCH($A24,Inventory_Data!$U$5:$U$104,0)))</f>
        <v>103</v>
      </c>
      <c r="G24" s="58" t="n">
        <f aca="false">IF($A24="","",INDEX(Inventory_Data!$G$5:$G$104,MATCH($A24,Inventory_Data!$U$5:$U$104,0)))</f>
        <v>83</v>
      </c>
      <c r="H24" s="59" t="str">
        <f aca="false">IF($A24="","",INDEX(Inventory_Data!$I$5:$I$104,MATCH($A24,Inventory_Data!$U$5:$U$104,0)))</f>
        <v>LOW STOCK</v>
      </c>
      <c r="I24" s="58" t="str">
        <f aca="false">IF($A24="","",INDEX(Inventory_Data!$N$5:$N$104,MATCH($A24,Inventory_Data!$U$5:$U$104,0)))</f>
        <v>MEDIUM</v>
      </c>
      <c r="J24" s="60" t="n">
        <f aca="false">IF($A24="","",INDEX(Inventory_Data!$M$5:$M$104,MATCH($A24,Inventory_Data!$U$5:$U$104,0)))</f>
        <v>17.2</v>
      </c>
      <c r="K24" s="58" t="n">
        <f aca="false">IF($A24="","",INDEX(Inventory_Data!$K$5:$K$104,MATCH($A24,Inventory_Data!$U$5:$U$104,0)))</f>
        <v>12</v>
      </c>
      <c r="L24" s="61" t="str">
        <f aca="false">IF($A24="","",INDEX(Inventory_Data!$J$5:$J$104,MATCH($A24,Inventory_Data!$U$5:$U$104,0)))</f>
        <v>HomeCraft Suppliers</v>
      </c>
      <c r="M24" s="58" t="n">
        <f aca="false">IF($A24="","",INDEX(Inventory_Data!$O$5:$O$104,MATCH($A24,Inventory_Data!$U$5:$U$104,0)))</f>
        <v>146</v>
      </c>
      <c r="N24" s="62" t="n">
        <f aca="false">IF($A24="","",INDEX(Inventory_Data!$Q$5:$Q$104,MATCH($A24,Inventory_Data!$U$5:$U$104,0)))</f>
        <v>8262.14</v>
      </c>
      <c r="O24" s="63" t="n">
        <f aca="false">IF($A24="","",INDEX(Inventory_Data!$R$5:$R$104,MATCH($A24,Inventory_Data!$U$5:$U$104,0)))</f>
        <v>45304</v>
      </c>
      <c r="P24" s="61" t="str">
        <f aca="false">IF($A24="","",INDEX(Inventory_Data!$S$5:$S$104,MATCH($A24,Inventory_Data!$U$5:$U$104,0)))</f>
        <v>Plan reorder this week</v>
      </c>
    </row>
    <row r="25" customFormat="false" ht="15" hidden="false" customHeight="false" outlineLevel="0" collapsed="false">
      <c r="A25" s="57" t="n">
        <f aca="false">IF(ROW()-4&lt;=COUNT(Inventory_Data!$U$5:$U$104),ROW()-4,"")</f>
        <v>21</v>
      </c>
      <c r="B25" s="58" t="str">
        <f aca="false">IF($A25="","",INDEX(Inventory_Data!$B$5:$B$104,MATCH($A25,Inventory_Data!$U$5:$U$104,0)))</f>
        <v>S004</v>
      </c>
      <c r="C25" s="58" t="str">
        <f aca="false">IF($A25="","",INDEX(Inventory_Data!$C$5:$C$104,MATCH($A25,Inventory_Data!$U$5:$U$104,0)))</f>
        <v>P0011</v>
      </c>
      <c r="D25" s="58" t="str">
        <f aca="false">IF($A25="","",INDEX(Inventory_Data!$D$5:$D$104,MATCH($A25,Inventory_Data!$U$5:$U$104,0)))</f>
        <v>Groceries</v>
      </c>
      <c r="E25" s="58" t="str">
        <f aca="false">IF($A25="","",INDEX(Inventory_Data!$E$5:$E$104,MATCH($A25,Inventory_Data!$U$5:$U$104,0)))</f>
        <v>East</v>
      </c>
      <c r="F25" s="58" t="n">
        <f aca="false">IF($A25="","",INDEX(Inventory_Data!$F$5:$F$104,MATCH($A25,Inventory_Data!$U$5:$U$104,0)))</f>
        <v>155</v>
      </c>
      <c r="G25" s="58" t="n">
        <f aca="false">IF($A25="","",INDEX(Inventory_Data!$G$5:$G$104,MATCH($A25,Inventory_Data!$U$5:$U$104,0)))</f>
        <v>124</v>
      </c>
      <c r="H25" s="59" t="str">
        <f aca="false">IF($A25="","",INDEX(Inventory_Data!$I$5:$I$104,MATCH($A25,Inventory_Data!$U$5:$U$104,0)))</f>
        <v>LOW STOCK</v>
      </c>
      <c r="I25" s="58" t="str">
        <f aca="false">IF($A25="","",INDEX(Inventory_Data!$N$5:$N$104,MATCH($A25,Inventory_Data!$U$5:$U$104,0)))</f>
        <v>MEDIUM</v>
      </c>
      <c r="J25" s="60" t="n">
        <f aca="false">IF($A25="","",INDEX(Inventory_Data!$M$5:$M$104,MATCH($A25,Inventory_Data!$U$5:$U$104,0)))</f>
        <v>3</v>
      </c>
      <c r="K25" s="58" t="n">
        <f aca="false">IF($A25="","",INDEX(Inventory_Data!$K$5:$K$104,MATCH($A25,Inventory_Data!$U$5:$U$104,0)))</f>
        <v>2</v>
      </c>
      <c r="L25" s="61" t="str">
        <f aca="false">IF($A25="","",INDEX(Inventory_Data!$J$5:$J$104,MATCH($A25,Inventory_Data!$U$5:$U$104,0)))</f>
        <v>FreshLink Traders</v>
      </c>
      <c r="M25" s="58" t="n">
        <f aca="false">IF($A25="","",INDEX(Inventory_Data!$O$5:$O$104,MATCH($A25,Inventory_Data!$U$5:$U$104,0)))</f>
        <v>217</v>
      </c>
      <c r="N25" s="62" t="n">
        <f aca="false">IF($A25="","",INDEX(Inventory_Data!$Q$5:$Q$104,MATCH($A25,Inventory_Data!$U$5:$U$104,0)))</f>
        <v>19132.89</v>
      </c>
      <c r="O25" s="63" t="n">
        <f aca="false">IF($A25="","",INDEX(Inventory_Data!$R$5:$R$104,MATCH($A25,Inventory_Data!$U$5:$U$104,0)))</f>
        <v>45294</v>
      </c>
      <c r="P25" s="61" t="str">
        <f aca="false">IF($A25="","",INDEX(Inventory_Data!$S$5:$S$104,MATCH($A25,Inventory_Data!$U$5:$U$104,0)))</f>
        <v>Plan reorder this week</v>
      </c>
    </row>
    <row r="26" customFormat="false" ht="15" hidden="false" customHeight="false" outlineLevel="0" collapsed="false">
      <c r="A26" s="57" t="str">
        <f aca="false">IF(ROW()-4&lt;=COUNT(Inventory_Data!$U$5:$U$104),ROW()-4,"")</f>
        <v/>
      </c>
      <c r="B26" s="58" t="str">
        <f aca="false">IF($A26="","",INDEX(Inventory_Data!$B$5:$B$104,MATCH($A26,Inventory_Data!$U$5:$U$104,0)))</f>
        <v/>
      </c>
      <c r="C26" s="58" t="str">
        <f aca="false">IF($A26="","",INDEX(Inventory_Data!$C$5:$C$104,MATCH($A26,Inventory_Data!$U$5:$U$104,0)))</f>
        <v/>
      </c>
      <c r="D26" s="58" t="str">
        <f aca="false">IF($A26="","",INDEX(Inventory_Data!$D$5:$D$104,MATCH($A26,Inventory_Data!$U$5:$U$104,0)))</f>
        <v/>
      </c>
      <c r="E26" s="58" t="str">
        <f aca="false">IF($A26="","",INDEX(Inventory_Data!$E$5:$E$104,MATCH($A26,Inventory_Data!$U$5:$U$104,0)))</f>
        <v/>
      </c>
      <c r="F26" s="58" t="str">
        <f aca="false">IF($A26="","",INDEX(Inventory_Data!$F$5:$F$104,MATCH($A26,Inventory_Data!$U$5:$U$104,0)))</f>
        <v/>
      </c>
      <c r="G26" s="58" t="str">
        <f aca="false">IF($A26="","",INDEX(Inventory_Data!$G$5:$G$104,MATCH($A26,Inventory_Data!$U$5:$U$104,0)))</f>
        <v/>
      </c>
      <c r="H26" s="59" t="str">
        <f aca="false">IF($A26="","",INDEX(Inventory_Data!$I$5:$I$104,MATCH($A26,Inventory_Data!$U$5:$U$104,0)))</f>
        <v/>
      </c>
      <c r="I26" s="58" t="str">
        <f aca="false">IF($A26="","",INDEX(Inventory_Data!$N$5:$N$104,MATCH($A26,Inventory_Data!$U$5:$U$104,0)))</f>
        <v/>
      </c>
      <c r="J26" s="60" t="str">
        <f aca="false">IF($A26="","",INDEX(Inventory_Data!$M$5:$M$104,MATCH($A26,Inventory_Data!$U$5:$U$104,0)))</f>
        <v/>
      </c>
      <c r="K26" s="58" t="str">
        <f aca="false">IF($A26="","",INDEX(Inventory_Data!$K$5:$K$104,MATCH($A26,Inventory_Data!$U$5:$U$104,0)))</f>
        <v/>
      </c>
      <c r="L26" s="61" t="str">
        <f aca="false">IF($A26="","",INDEX(Inventory_Data!$J$5:$J$104,MATCH($A26,Inventory_Data!$U$5:$U$104,0)))</f>
        <v/>
      </c>
      <c r="M26" s="58" t="str">
        <f aca="false">IF($A26="","",INDEX(Inventory_Data!$O$5:$O$104,MATCH($A26,Inventory_Data!$U$5:$U$104,0)))</f>
        <v/>
      </c>
      <c r="N26" s="62" t="str">
        <f aca="false">IF($A26="","",INDEX(Inventory_Data!$Q$5:$Q$104,MATCH($A26,Inventory_Data!$U$5:$U$104,0)))</f>
        <v/>
      </c>
      <c r="O26" s="63" t="str">
        <f aca="false">IF($A26="","",INDEX(Inventory_Data!$R$5:$R$104,MATCH($A26,Inventory_Data!$U$5:$U$104,0)))</f>
        <v/>
      </c>
      <c r="P26" s="61" t="str">
        <f aca="false">IF($A26="","",INDEX(Inventory_Data!$S$5:$S$104,MATCH($A26,Inventory_Data!$U$5:$U$104,0)))</f>
        <v/>
      </c>
    </row>
    <row r="27" customFormat="false" ht="15" hidden="false" customHeight="false" outlineLevel="0" collapsed="false">
      <c r="A27" s="57" t="str">
        <f aca="false">IF(ROW()-4&lt;=COUNT(Inventory_Data!$U$5:$U$104),ROW()-4,"")</f>
        <v/>
      </c>
      <c r="B27" s="58" t="str">
        <f aca="false">IF($A27="","",INDEX(Inventory_Data!$B$5:$B$104,MATCH($A27,Inventory_Data!$U$5:$U$104,0)))</f>
        <v/>
      </c>
      <c r="C27" s="58" t="str">
        <f aca="false">IF($A27="","",INDEX(Inventory_Data!$C$5:$C$104,MATCH($A27,Inventory_Data!$U$5:$U$104,0)))</f>
        <v/>
      </c>
      <c r="D27" s="58" t="str">
        <f aca="false">IF($A27="","",INDEX(Inventory_Data!$D$5:$D$104,MATCH($A27,Inventory_Data!$U$5:$U$104,0)))</f>
        <v/>
      </c>
      <c r="E27" s="58" t="str">
        <f aca="false">IF($A27="","",INDEX(Inventory_Data!$E$5:$E$104,MATCH($A27,Inventory_Data!$U$5:$U$104,0)))</f>
        <v/>
      </c>
      <c r="F27" s="58" t="str">
        <f aca="false">IF($A27="","",INDEX(Inventory_Data!$F$5:$F$104,MATCH($A27,Inventory_Data!$U$5:$U$104,0)))</f>
        <v/>
      </c>
      <c r="G27" s="58" t="str">
        <f aca="false">IF($A27="","",INDEX(Inventory_Data!$G$5:$G$104,MATCH($A27,Inventory_Data!$U$5:$U$104,0)))</f>
        <v/>
      </c>
      <c r="H27" s="59" t="str">
        <f aca="false">IF($A27="","",INDEX(Inventory_Data!$I$5:$I$104,MATCH($A27,Inventory_Data!$U$5:$U$104,0)))</f>
        <v/>
      </c>
      <c r="I27" s="58" t="str">
        <f aca="false">IF($A27="","",INDEX(Inventory_Data!$N$5:$N$104,MATCH($A27,Inventory_Data!$U$5:$U$104,0)))</f>
        <v/>
      </c>
      <c r="J27" s="60" t="str">
        <f aca="false">IF($A27="","",INDEX(Inventory_Data!$M$5:$M$104,MATCH($A27,Inventory_Data!$U$5:$U$104,0)))</f>
        <v/>
      </c>
      <c r="K27" s="58" t="str">
        <f aca="false">IF($A27="","",INDEX(Inventory_Data!$K$5:$K$104,MATCH($A27,Inventory_Data!$U$5:$U$104,0)))</f>
        <v/>
      </c>
      <c r="L27" s="61" t="str">
        <f aca="false">IF($A27="","",INDEX(Inventory_Data!$J$5:$J$104,MATCH($A27,Inventory_Data!$U$5:$U$104,0)))</f>
        <v/>
      </c>
      <c r="M27" s="58" t="str">
        <f aca="false">IF($A27="","",INDEX(Inventory_Data!$O$5:$O$104,MATCH($A27,Inventory_Data!$U$5:$U$104,0)))</f>
        <v/>
      </c>
      <c r="N27" s="62" t="str">
        <f aca="false">IF($A27="","",INDEX(Inventory_Data!$Q$5:$Q$104,MATCH($A27,Inventory_Data!$U$5:$U$104,0)))</f>
        <v/>
      </c>
      <c r="O27" s="63" t="str">
        <f aca="false">IF($A27="","",INDEX(Inventory_Data!$R$5:$R$104,MATCH($A27,Inventory_Data!$U$5:$U$104,0)))</f>
        <v/>
      </c>
      <c r="P27" s="61" t="str">
        <f aca="false">IF($A27="","",INDEX(Inventory_Data!$S$5:$S$104,MATCH($A27,Inventory_Data!$U$5:$U$104,0)))</f>
        <v/>
      </c>
    </row>
    <row r="28" customFormat="false" ht="15" hidden="false" customHeight="false" outlineLevel="0" collapsed="false">
      <c r="A28" s="57" t="str">
        <f aca="false">IF(ROW()-4&lt;=COUNT(Inventory_Data!$U$5:$U$104),ROW()-4,"")</f>
        <v/>
      </c>
      <c r="B28" s="58" t="str">
        <f aca="false">IF($A28="","",INDEX(Inventory_Data!$B$5:$B$104,MATCH($A28,Inventory_Data!$U$5:$U$104,0)))</f>
        <v/>
      </c>
      <c r="C28" s="58" t="str">
        <f aca="false">IF($A28="","",INDEX(Inventory_Data!$C$5:$C$104,MATCH($A28,Inventory_Data!$U$5:$U$104,0)))</f>
        <v/>
      </c>
      <c r="D28" s="58" t="str">
        <f aca="false">IF($A28="","",INDEX(Inventory_Data!$D$5:$D$104,MATCH($A28,Inventory_Data!$U$5:$U$104,0)))</f>
        <v/>
      </c>
      <c r="E28" s="58" t="str">
        <f aca="false">IF($A28="","",INDEX(Inventory_Data!$E$5:$E$104,MATCH($A28,Inventory_Data!$U$5:$U$104,0)))</f>
        <v/>
      </c>
      <c r="F28" s="58" t="str">
        <f aca="false">IF($A28="","",INDEX(Inventory_Data!$F$5:$F$104,MATCH($A28,Inventory_Data!$U$5:$U$104,0)))</f>
        <v/>
      </c>
      <c r="G28" s="58" t="str">
        <f aca="false">IF($A28="","",INDEX(Inventory_Data!$G$5:$G$104,MATCH($A28,Inventory_Data!$U$5:$U$104,0)))</f>
        <v/>
      </c>
      <c r="H28" s="59" t="str">
        <f aca="false">IF($A28="","",INDEX(Inventory_Data!$I$5:$I$104,MATCH($A28,Inventory_Data!$U$5:$U$104,0)))</f>
        <v/>
      </c>
      <c r="I28" s="58" t="str">
        <f aca="false">IF($A28="","",INDEX(Inventory_Data!$N$5:$N$104,MATCH($A28,Inventory_Data!$U$5:$U$104,0)))</f>
        <v/>
      </c>
      <c r="J28" s="60" t="str">
        <f aca="false">IF($A28="","",INDEX(Inventory_Data!$M$5:$M$104,MATCH($A28,Inventory_Data!$U$5:$U$104,0)))</f>
        <v/>
      </c>
      <c r="K28" s="58" t="str">
        <f aca="false">IF($A28="","",INDEX(Inventory_Data!$K$5:$K$104,MATCH($A28,Inventory_Data!$U$5:$U$104,0)))</f>
        <v/>
      </c>
      <c r="L28" s="61" t="str">
        <f aca="false">IF($A28="","",INDEX(Inventory_Data!$J$5:$J$104,MATCH($A28,Inventory_Data!$U$5:$U$104,0)))</f>
        <v/>
      </c>
      <c r="M28" s="58" t="str">
        <f aca="false">IF($A28="","",INDEX(Inventory_Data!$O$5:$O$104,MATCH($A28,Inventory_Data!$U$5:$U$104,0)))</f>
        <v/>
      </c>
      <c r="N28" s="62" t="str">
        <f aca="false">IF($A28="","",INDEX(Inventory_Data!$Q$5:$Q$104,MATCH($A28,Inventory_Data!$U$5:$U$104,0)))</f>
        <v/>
      </c>
      <c r="O28" s="63" t="str">
        <f aca="false">IF($A28="","",INDEX(Inventory_Data!$R$5:$R$104,MATCH($A28,Inventory_Data!$U$5:$U$104,0)))</f>
        <v/>
      </c>
      <c r="P28" s="61" t="str">
        <f aca="false">IF($A28="","",INDEX(Inventory_Data!$S$5:$S$104,MATCH($A28,Inventory_Data!$U$5:$U$104,0)))</f>
        <v/>
      </c>
    </row>
    <row r="29" customFormat="false" ht="15" hidden="false" customHeight="false" outlineLevel="0" collapsed="false">
      <c r="A29" s="57" t="str">
        <f aca="false">IF(ROW()-4&lt;=COUNT(Inventory_Data!$U$5:$U$104),ROW()-4,"")</f>
        <v/>
      </c>
      <c r="B29" s="58" t="str">
        <f aca="false">IF($A29="","",INDEX(Inventory_Data!$B$5:$B$104,MATCH($A29,Inventory_Data!$U$5:$U$104,0)))</f>
        <v/>
      </c>
      <c r="C29" s="58" t="str">
        <f aca="false">IF($A29="","",INDEX(Inventory_Data!$C$5:$C$104,MATCH($A29,Inventory_Data!$U$5:$U$104,0)))</f>
        <v/>
      </c>
      <c r="D29" s="58" t="str">
        <f aca="false">IF($A29="","",INDEX(Inventory_Data!$D$5:$D$104,MATCH($A29,Inventory_Data!$U$5:$U$104,0)))</f>
        <v/>
      </c>
      <c r="E29" s="58" t="str">
        <f aca="false">IF($A29="","",INDEX(Inventory_Data!$E$5:$E$104,MATCH($A29,Inventory_Data!$U$5:$U$104,0)))</f>
        <v/>
      </c>
      <c r="F29" s="58" t="str">
        <f aca="false">IF($A29="","",INDEX(Inventory_Data!$F$5:$F$104,MATCH($A29,Inventory_Data!$U$5:$U$104,0)))</f>
        <v/>
      </c>
      <c r="G29" s="58" t="str">
        <f aca="false">IF($A29="","",INDEX(Inventory_Data!$G$5:$G$104,MATCH($A29,Inventory_Data!$U$5:$U$104,0)))</f>
        <v/>
      </c>
      <c r="H29" s="59" t="str">
        <f aca="false">IF($A29="","",INDEX(Inventory_Data!$I$5:$I$104,MATCH($A29,Inventory_Data!$U$5:$U$104,0)))</f>
        <v/>
      </c>
      <c r="I29" s="58" t="str">
        <f aca="false">IF($A29="","",INDEX(Inventory_Data!$N$5:$N$104,MATCH($A29,Inventory_Data!$U$5:$U$104,0)))</f>
        <v/>
      </c>
      <c r="J29" s="60" t="str">
        <f aca="false">IF($A29="","",INDEX(Inventory_Data!$M$5:$M$104,MATCH($A29,Inventory_Data!$U$5:$U$104,0)))</f>
        <v/>
      </c>
      <c r="K29" s="58" t="str">
        <f aca="false">IF($A29="","",INDEX(Inventory_Data!$K$5:$K$104,MATCH($A29,Inventory_Data!$U$5:$U$104,0)))</f>
        <v/>
      </c>
      <c r="L29" s="61" t="str">
        <f aca="false">IF($A29="","",INDEX(Inventory_Data!$J$5:$J$104,MATCH($A29,Inventory_Data!$U$5:$U$104,0)))</f>
        <v/>
      </c>
      <c r="M29" s="58" t="str">
        <f aca="false">IF($A29="","",INDEX(Inventory_Data!$O$5:$O$104,MATCH($A29,Inventory_Data!$U$5:$U$104,0)))</f>
        <v/>
      </c>
      <c r="N29" s="62" t="str">
        <f aca="false">IF($A29="","",INDEX(Inventory_Data!$Q$5:$Q$104,MATCH($A29,Inventory_Data!$U$5:$U$104,0)))</f>
        <v/>
      </c>
      <c r="O29" s="63" t="str">
        <f aca="false">IF($A29="","",INDEX(Inventory_Data!$R$5:$R$104,MATCH($A29,Inventory_Data!$U$5:$U$104,0)))</f>
        <v/>
      </c>
      <c r="P29" s="61" t="str">
        <f aca="false">IF($A29="","",INDEX(Inventory_Data!$S$5:$S$104,MATCH($A29,Inventory_Data!$U$5:$U$104,0)))</f>
        <v/>
      </c>
    </row>
    <row r="30" customFormat="false" ht="15" hidden="false" customHeight="false" outlineLevel="0" collapsed="false">
      <c r="A30" s="57" t="str">
        <f aca="false">IF(ROW()-4&lt;=COUNT(Inventory_Data!$U$5:$U$104),ROW()-4,"")</f>
        <v/>
      </c>
      <c r="B30" s="58" t="str">
        <f aca="false">IF($A30="","",INDEX(Inventory_Data!$B$5:$B$104,MATCH($A30,Inventory_Data!$U$5:$U$104,0)))</f>
        <v/>
      </c>
      <c r="C30" s="58" t="str">
        <f aca="false">IF($A30="","",INDEX(Inventory_Data!$C$5:$C$104,MATCH($A30,Inventory_Data!$U$5:$U$104,0)))</f>
        <v/>
      </c>
      <c r="D30" s="58" t="str">
        <f aca="false">IF($A30="","",INDEX(Inventory_Data!$D$5:$D$104,MATCH($A30,Inventory_Data!$U$5:$U$104,0)))</f>
        <v/>
      </c>
      <c r="E30" s="58" t="str">
        <f aca="false">IF($A30="","",INDEX(Inventory_Data!$E$5:$E$104,MATCH($A30,Inventory_Data!$U$5:$U$104,0)))</f>
        <v/>
      </c>
      <c r="F30" s="58" t="str">
        <f aca="false">IF($A30="","",INDEX(Inventory_Data!$F$5:$F$104,MATCH($A30,Inventory_Data!$U$5:$U$104,0)))</f>
        <v/>
      </c>
      <c r="G30" s="58" t="str">
        <f aca="false">IF($A30="","",INDEX(Inventory_Data!$G$5:$G$104,MATCH($A30,Inventory_Data!$U$5:$U$104,0)))</f>
        <v/>
      </c>
      <c r="H30" s="59" t="str">
        <f aca="false">IF($A30="","",INDEX(Inventory_Data!$I$5:$I$104,MATCH($A30,Inventory_Data!$U$5:$U$104,0)))</f>
        <v/>
      </c>
      <c r="I30" s="58" t="str">
        <f aca="false">IF($A30="","",INDEX(Inventory_Data!$N$5:$N$104,MATCH($A30,Inventory_Data!$U$5:$U$104,0)))</f>
        <v/>
      </c>
      <c r="J30" s="60" t="str">
        <f aca="false">IF($A30="","",INDEX(Inventory_Data!$M$5:$M$104,MATCH($A30,Inventory_Data!$U$5:$U$104,0)))</f>
        <v/>
      </c>
      <c r="K30" s="58" t="str">
        <f aca="false">IF($A30="","",INDEX(Inventory_Data!$K$5:$K$104,MATCH($A30,Inventory_Data!$U$5:$U$104,0)))</f>
        <v/>
      </c>
      <c r="L30" s="61" t="str">
        <f aca="false">IF($A30="","",INDEX(Inventory_Data!$J$5:$J$104,MATCH($A30,Inventory_Data!$U$5:$U$104,0)))</f>
        <v/>
      </c>
      <c r="M30" s="58" t="str">
        <f aca="false">IF($A30="","",INDEX(Inventory_Data!$O$5:$O$104,MATCH($A30,Inventory_Data!$U$5:$U$104,0)))</f>
        <v/>
      </c>
      <c r="N30" s="62" t="str">
        <f aca="false">IF($A30="","",INDEX(Inventory_Data!$Q$5:$Q$104,MATCH($A30,Inventory_Data!$U$5:$U$104,0)))</f>
        <v/>
      </c>
      <c r="O30" s="63" t="str">
        <f aca="false">IF($A30="","",INDEX(Inventory_Data!$R$5:$R$104,MATCH($A30,Inventory_Data!$U$5:$U$104,0)))</f>
        <v/>
      </c>
      <c r="P30" s="61" t="str">
        <f aca="false">IF($A30="","",INDEX(Inventory_Data!$S$5:$S$104,MATCH($A30,Inventory_Data!$U$5:$U$104,0)))</f>
        <v/>
      </c>
    </row>
    <row r="31" customFormat="false" ht="15" hidden="false" customHeight="false" outlineLevel="0" collapsed="false">
      <c r="A31" s="57" t="str">
        <f aca="false">IF(ROW()-4&lt;=COUNT(Inventory_Data!$U$5:$U$104),ROW()-4,"")</f>
        <v/>
      </c>
      <c r="B31" s="58" t="str">
        <f aca="false">IF($A31="","",INDEX(Inventory_Data!$B$5:$B$104,MATCH($A31,Inventory_Data!$U$5:$U$104,0)))</f>
        <v/>
      </c>
      <c r="C31" s="58" t="str">
        <f aca="false">IF($A31="","",INDEX(Inventory_Data!$C$5:$C$104,MATCH($A31,Inventory_Data!$U$5:$U$104,0)))</f>
        <v/>
      </c>
      <c r="D31" s="58" t="str">
        <f aca="false">IF($A31="","",INDEX(Inventory_Data!$D$5:$D$104,MATCH($A31,Inventory_Data!$U$5:$U$104,0)))</f>
        <v/>
      </c>
      <c r="E31" s="58" t="str">
        <f aca="false">IF($A31="","",INDEX(Inventory_Data!$E$5:$E$104,MATCH($A31,Inventory_Data!$U$5:$U$104,0)))</f>
        <v/>
      </c>
      <c r="F31" s="58" t="str">
        <f aca="false">IF($A31="","",INDEX(Inventory_Data!$F$5:$F$104,MATCH($A31,Inventory_Data!$U$5:$U$104,0)))</f>
        <v/>
      </c>
      <c r="G31" s="58" t="str">
        <f aca="false">IF($A31="","",INDEX(Inventory_Data!$G$5:$G$104,MATCH($A31,Inventory_Data!$U$5:$U$104,0)))</f>
        <v/>
      </c>
      <c r="H31" s="59" t="str">
        <f aca="false">IF($A31="","",INDEX(Inventory_Data!$I$5:$I$104,MATCH($A31,Inventory_Data!$U$5:$U$104,0)))</f>
        <v/>
      </c>
      <c r="I31" s="58" t="str">
        <f aca="false">IF($A31="","",INDEX(Inventory_Data!$N$5:$N$104,MATCH($A31,Inventory_Data!$U$5:$U$104,0)))</f>
        <v/>
      </c>
      <c r="J31" s="60" t="str">
        <f aca="false">IF($A31="","",INDEX(Inventory_Data!$M$5:$M$104,MATCH($A31,Inventory_Data!$U$5:$U$104,0)))</f>
        <v/>
      </c>
      <c r="K31" s="58" t="str">
        <f aca="false">IF($A31="","",INDEX(Inventory_Data!$K$5:$K$104,MATCH($A31,Inventory_Data!$U$5:$U$104,0)))</f>
        <v/>
      </c>
      <c r="L31" s="61" t="str">
        <f aca="false">IF($A31="","",INDEX(Inventory_Data!$J$5:$J$104,MATCH($A31,Inventory_Data!$U$5:$U$104,0)))</f>
        <v/>
      </c>
      <c r="M31" s="58" t="str">
        <f aca="false">IF($A31="","",INDEX(Inventory_Data!$O$5:$O$104,MATCH($A31,Inventory_Data!$U$5:$U$104,0)))</f>
        <v/>
      </c>
      <c r="N31" s="62" t="str">
        <f aca="false">IF($A31="","",INDEX(Inventory_Data!$Q$5:$Q$104,MATCH($A31,Inventory_Data!$U$5:$U$104,0)))</f>
        <v/>
      </c>
      <c r="O31" s="63" t="str">
        <f aca="false">IF($A31="","",INDEX(Inventory_Data!$R$5:$R$104,MATCH($A31,Inventory_Data!$U$5:$U$104,0)))</f>
        <v/>
      </c>
      <c r="P31" s="61" t="str">
        <f aca="false">IF($A31="","",INDEX(Inventory_Data!$S$5:$S$104,MATCH($A31,Inventory_Data!$U$5:$U$104,0)))</f>
        <v/>
      </c>
    </row>
    <row r="32" customFormat="false" ht="15" hidden="false" customHeight="false" outlineLevel="0" collapsed="false">
      <c r="A32" s="57" t="str">
        <f aca="false">IF(ROW()-4&lt;=COUNT(Inventory_Data!$U$5:$U$104),ROW()-4,"")</f>
        <v/>
      </c>
      <c r="B32" s="58" t="str">
        <f aca="false">IF($A32="","",INDEX(Inventory_Data!$B$5:$B$104,MATCH($A32,Inventory_Data!$U$5:$U$104,0)))</f>
        <v/>
      </c>
      <c r="C32" s="58" t="str">
        <f aca="false">IF($A32="","",INDEX(Inventory_Data!$C$5:$C$104,MATCH($A32,Inventory_Data!$U$5:$U$104,0)))</f>
        <v/>
      </c>
      <c r="D32" s="58" t="str">
        <f aca="false">IF($A32="","",INDEX(Inventory_Data!$D$5:$D$104,MATCH($A32,Inventory_Data!$U$5:$U$104,0)))</f>
        <v/>
      </c>
      <c r="E32" s="58" t="str">
        <f aca="false">IF($A32="","",INDEX(Inventory_Data!$E$5:$E$104,MATCH($A32,Inventory_Data!$U$5:$U$104,0)))</f>
        <v/>
      </c>
      <c r="F32" s="58" t="str">
        <f aca="false">IF($A32="","",INDEX(Inventory_Data!$F$5:$F$104,MATCH($A32,Inventory_Data!$U$5:$U$104,0)))</f>
        <v/>
      </c>
      <c r="G32" s="58" t="str">
        <f aca="false">IF($A32="","",INDEX(Inventory_Data!$G$5:$G$104,MATCH($A32,Inventory_Data!$U$5:$U$104,0)))</f>
        <v/>
      </c>
      <c r="H32" s="59" t="str">
        <f aca="false">IF($A32="","",INDEX(Inventory_Data!$I$5:$I$104,MATCH($A32,Inventory_Data!$U$5:$U$104,0)))</f>
        <v/>
      </c>
      <c r="I32" s="58" t="str">
        <f aca="false">IF($A32="","",INDEX(Inventory_Data!$N$5:$N$104,MATCH($A32,Inventory_Data!$U$5:$U$104,0)))</f>
        <v/>
      </c>
      <c r="J32" s="60" t="str">
        <f aca="false">IF($A32="","",INDEX(Inventory_Data!$M$5:$M$104,MATCH($A32,Inventory_Data!$U$5:$U$104,0)))</f>
        <v/>
      </c>
      <c r="K32" s="58" t="str">
        <f aca="false">IF($A32="","",INDEX(Inventory_Data!$K$5:$K$104,MATCH($A32,Inventory_Data!$U$5:$U$104,0)))</f>
        <v/>
      </c>
      <c r="L32" s="61" t="str">
        <f aca="false">IF($A32="","",INDEX(Inventory_Data!$J$5:$J$104,MATCH($A32,Inventory_Data!$U$5:$U$104,0)))</f>
        <v/>
      </c>
      <c r="M32" s="58" t="str">
        <f aca="false">IF($A32="","",INDEX(Inventory_Data!$O$5:$O$104,MATCH($A32,Inventory_Data!$U$5:$U$104,0)))</f>
        <v/>
      </c>
      <c r="N32" s="62" t="str">
        <f aca="false">IF($A32="","",INDEX(Inventory_Data!$Q$5:$Q$104,MATCH($A32,Inventory_Data!$U$5:$U$104,0)))</f>
        <v/>
      </c>
      <c r="O32" s="63" t="str">
        <f aca="false">IF($A32="","",INDEX(Inventory_Data!$R$5:$R$104,MATCH($A32,Inventory_Data!$U$5:$U$104,0)))</f>
        <v/>
      </c>
      <c r="P32" s="61" t="str">
        <f aca="false">IF($A32="","",INDEX(Inventory_Data!$S$5:$S$104,MATCH($A32,Inventory_Data!$U$5:$U$104,0)))</f>
        <v/>
      </c>
    </row>
    <row r="33" customFormat="false" ht="15" hidden="false" customHeight="false" outlineLevel="0" collapsed="false">
      <c r="A33" s="57" t="str">
        <f aca="false">IF(ROW()-4&lt;=COUNT(Inventory_Data!$U$5:$U$104),ROW()-4,"")</f>
        <v/>
      </c>
      <c r="B33" s="58" t="str">
        <f aca="false">IF($A33="","",INDEX(Inventory_Data!$B$5:$B$104,MATCH($A33,Inventory_Data!$U$5:$U$104,0)))</f>
        <v/>
      </c>
      <c r="C33" s="58" t="str">
        <f aca="false">IF($A33="","",INDEX(Inventory_Data!$C$5:$C$104,MATCH($A33,Inventory_Data!$U$5:$U$104,0)))</f>
        <v/>
      </c>
      <c r="D33" s="58" t="str">
        <f aca="false">IF($A33="","",INDEX(Inventory_Data!$D$5:$D$104,MATCH($A33,Inventory_Data!$U$5:$U$104,0)))</f>
        <v/>
      </c>
      <c r="E33" s="58" t="str">
        <f aca="false">IF($A33="","",INDEX(Inventory_Data!$E$5:$E$104,MATCH($A33,Inventory_Data!$U$5:$U$104,0)))</f>
        <v/>
      </c>
      <c r="F33" s="58" t="str">
        <f aca="false">IF($A33="","",INDEX(Inventory_Data!$F$5:$F$104,MATCH($A33,Inventory_Data!$U$5:$U$104,0)))</f>
        <v/>
      </c>
      <c r="G33" s="58" t="str">
        <f aca="false">IF($A33="","",INDEX(Inventory_Data!$G$5:$G$104,MATCH($A33,Inventory_Data!$U$5:$U$104,0)))</f>
        <v/>
      </c>
      <c r="H33" s="59" t="str">
        <f aca="false">IF($A33="","",INDEX(Inventory_Data!$I$5:$I$104,MATCH($A33,Inventory_Data!$U$5:$U$104,0)))</f>
        <v/>
      </c>
      <c r="I33" s="58" t="str">
        <f aca="false">IF($A33="","",INDEX(Inventory_Data!$N$5:$N$104,MATCH($A33,Inventory_Data!$U$5:$U$104,0)))</f>
        <v/>
      </c>
      <c r="J33" s="60" t="str">
        <f aca="false">IF($A33="","",INDEX(Inventory_Data!$M$5:$M$104,MATCH($A33,Inventory_Data!$U$5:$U$104,0)))</f>
        <v/>
      </c>
      <c r="K33" s="58" t="str">
        <f aca="false">IF($A33="","",INDEX(Inventory_Data!$K$5:$K$104,MATCH($A33,Inventory_Data!$U$5:$U$104,0)))</f>
        <v/>
      </c>
      <c r="L33" s="61" t="str">
        <f aca="false">IF($A33="","",INDEX(Inventory_Data!$J$5:$J$104,MATCH($A33,Inventory_Data!$U$5:$U$104,0)))</f>
        <v/>
      </c>
      <c r="M33" s="58" t="str">
        <f aca="false">IF($A33="","",INDEX(Inventory_Data!$O$5:$O$104,MATCH($A33,Inventory_Data!$U$5:$U$104,0)))</f>
        <v/>
      </c>
      <c r="N33" s="62" t="str">
        <f aca="false">IF($A33="","",INDEX(Inventory_Data!$Q$5:$Q$104,MATCH($A33,Inventory_Data!$U$5:$U$104,0)))</f>
        <v/>
      </c>
      <c r="O33" s="63" t="str">
        <f aca="false">IF($A33="","",INDEX(Inventory_Data!$R$5:$R$104,MATCH($A33,Inventory_Data!$U$5:$U$104,0)))</f>
        <v/>
      </c>
      <c r="P33" s="61" t="str">
        <f aca="false">IF($A33="","",INDEX(Inventory_Data!$S$5:$S$104,MATCH($A33,Inventory_Data!$U$5:$U$104,0)))</f>
        <v/>
      </c>
    </row>
    <row r="34" customFormat="false" ht="15" hidden="false" customHeight="false" outlineLevel="0" collapsed="false">
      <c r="A34" s="57" t="str">
        <f aca="false">IF(ROW()-4&lt;=COUNT(Inventory_Data!$U$5:$U$104),ROW()-4,"")</f>
        <v/>
      </c>
      <c r="B34" s="58" t="str">
        <f aca="false">IF($A34="","",INDEX(Inventory_Data!$B$5:$B$104,MATCH($A34,Inventory_Data!$U$5:$U$104,0)))</f>
        <v/>
      </c>
      <c r="C34" s="58" t="str">
        <f aca="false">IF($A34="","",INDEX(Inventory_Data!$C$5:$C$104,MATCH($A34,Inventory_Data!$U$5:$U$104,0)))</f>
        <v/>
      </c>
      <c r="D34" s="58" t="str">
        <f aca="false">IF($A34="","",INDEX(Inventory_Data!$D$5:$D$104,MATCH($A34,Inventory_Data!$U$5:$U$104,0)))</f>
        <v/>
      </c>
      <c r="E34" s="58" t="str">
        <f aca="false">IF($A34="","",INDEX(Inventory_Data!$E$5:$E$104,MATCH($A34,Inventory_Data!$U$5:$U$104,0)))</f>
        <v/>
      </c>
      <c r="F34" s="58" t="str">
        <f aca="false">IF($A34="","",INDEX(Inventory_Data!$F$5:$F$104,MATCH($A34,Inventory_Data!$U$5:$U$104,0)))</f>
        <v/>
      </c>
      <c r="G34" s="58" t="str">
        <f aca="false">IF($A34="","",INDEX(Inventory_Data!$G$5:$G$104,MATCH($A34,Inventory_Data!$U$5:$U$104,0)))</f>
        <v/>
      </c>
      <c r="H34" s="59" t="str">
        <f aca="false">IF($A34="","",INDEX(Inventory_Data!$I$5:$I$104,MATCH($A34,Inventory_Data!$U$5:$U$104,0)))</f>
        <v/>
      </c>
      <c r="I34" s="58" t="str">
        <f aca="false">IF($A34="","",INDEX(Inventory_Data!$N$5:$N$104,MATCH($A34,Inventory_Data!$U$5:$U$104,0)))</f>
        <v/>
      </c>
      <c r="J34" s="60" t="str">
        <f aca="false">IF($A34="","",INDEX(Inventory_Data!$M$5:$M$104,MATCH($A34,Inventory_Data!$U$5:$U$104,0)))</f>
        <v/>
      </c>
      <c r="K34" s="58" t="str">
        <f aca="false">IF($A34="","",INDEX(Inventory_Data!$K$5:$K$104,MATCH($A34,Inventory_Data!$U$5:$U$104,0)))</f>
        <v/>
      </c>
      <c r="L34" s="61" t="str">
        <f aca="false">IF($A34="","",INDEX(Inventory_Data!$J$5:$J$104,MATCH($A34,Inventory_Data!$U$5:$U$104,0)))</f>
        <v/>
      </c>
      <c r="M34" s="58" t="str">
        <f aca="false">IF($A34="","",INDEX(Inventory_Data!$O$5:$O$104,MATCH($A34,Inventory_Data!$U$5:$U$104,0)))</f>
        <v/>
      </c>
      <c r="N34" s="62" t="str">
        <f aca="false">IF($A34="","",INDEX(Inventory_Data!$Q$5:$Q$104,MATCH($A34,Inventory_Data!$U$5:$U$104,0)))</f>
        <v/>
      </c>
      <c r="O34" s="63" t="str">
        <f aca="false">IF($A34="","",INDEX(Inventory_Data!$R$5:$R$104,MATCH($A34,Inventory_Data!$U$5:$U$104,0)))</f>
        <v/>
      </c>
      <c r="P34" s="61" t="str">
        <f aca="false">IF($A34="","",INDEX(Inventory_Data!$S$5:$S$104,MATCH($A34,Inventory_Data!$U$5:$U$104,0)))</f>
        <v/>
      </c>
    </row>
    <row r="35" customFormat="false" ht="15" hidden="false" customHeight="false" outlineLevel="0" collapsed="false">
      <c r="A35" s="57" t="str">
        <f aca="false">IF(ROW()-4&lt;=COUNT(Inventory_Data!$U$5:$U$104),ROW()-4,"")</f>
        <v/>
      </c>
      <c r="B35" s="58" t="str">
        <f aca="false">IF($A35="","",INDEX(Inventory_Data!$B$5:$B$104,MATCH($A35,Inventory_Data!$U$5:$U$104,0)))</f>
        <v/>
      </c>
      <c r="C35" s="58" t="str">
        <f aca="false">IF($A35="","",INDEX(Inventory_Data!$C$5:$C$104,MATCH($A35,Inventory_Data!$U$5:$U$104,0)))</f>
        <v/>
      </c>
      <c r="D35" s="58" t="str">
        <f aca="false">IF($A35="","",INDEX(Inventory_Data!$D$5:$D$104,MATCH($A35,Inventory_Data!$U$5:$U$104,0)))</f>
        <v/>
      </c>
      <c r="E35" s="58" t="str">
        <f aca="false">IF($A35="","",INDEX(Inventory_Data!$E$5:$E$104,MATCH($A35,Inventory_Data!$U$5:$U$104,0)))</f>
        <v/>
      </c>
      <c r="F35" s="58" t="str">
        <f aca="false">IF($A35="","",INDEX(Inventory_Data!$F$5:$F$104,MATCH($A35,Inventory_Data!$U$5:$U$104,0)))</f>
        <v/>
      </c>
      <c r="G35" s="58" t="str">
        <f aca="false">IF($A35="","",INDEX(Inventory_Data!$G$5:$G$104,MATCH($A35,Inventory_Data!$U$5:$U$104,0)))</f>
        <v/>
      </c>
      <c r="H35" s="59" t="str">
        <f aca="false">IF($A35="","",INDEX(Inventory_Data!$I$5:$I$104,MATCH($A35,Inventory_Data!$U$5:$U$104,0)))</f>
        <v/>
      </c>
      <c r="I35" s="58" t="str">
        <f aca="false">IF($A35="","",INDEX(Inventory_Data!$N$5:$N$104,MATCH($A35,Inventory_Data!$U$5:$U$104,0)))</f>
        <v/>
      </c>
      <c r="J35" s="60" t="str">
        <f aca="false">IF($A35="","",INDEX(Inventory_Data!$M$5:$M$104,MATCH($A35,Inventory_Data!$U$5:$U$104,0)))</f>
        <v/>
      </c>
      <c r="K35" s="58" t="str">
        <f aca="false">IF($A35="","",INDEX(Inventory_Data!$K$5:$K$104,MATCH($A35,Inventory_Data!$U$5:$U$104,0)))</f>
        <v/>
      </c>
      <c r="L35" s="61" t="str">
        <f aca="false">IF($A35="","",INDEX(Inventory_Data!$J$5:$J$104,MATCH($A35,Inventory_Data!$U$5:$U$104,0)))</f>
        <v/>
      </c>
      <c r="M35" s="58" t="str">
        <f aca="false">IF($A35="","",INDEX(Inventory_Data!$O$5:$O$104,MATCH($A35,Inventory_Data!$U$5:$U$104,0)))</f>
        <v/>
      </c>
      <c r="N35" s="62" t="str">
        <f aca="false">IF($A35="","",INDEX(Inventory_Data!$Q$5:$Q$104,MATCH($A35,Inventory_Data!$U$5:$U$104,0)))</f>
        <v/>
      </c>
      <c r="O35" s="63" t="str">
        <f aca="false">IF($A35="","",INDEX(Inventory_Data!$R$5:$R$104,MATCH($A35,Inventory_Data!$U$5:$U$104,0)))</f>
        <v/>
      </c>
      <c r="P35" s="61" t="str">
        <f aca="false">IF($A35="","",INDEX(Inventory_Data!$S$5:$S$104,MATCH($A35,Inventory_Data!$U$5:$U$104,0)))</f>
        <v/>
      </c>
    </row>
    <row r="36" customFormat="false" ht="15" hidden="false" customHeight="false" outlineLevel="0" collapsed="false">
      <c r="A36" s="57" t="str">
        <f aca="false">IF(ROW()-4&lt;=COUNT(Inventory_Data!$U$5:$U$104),ROW()-4,"")</f>
        <v/>
      </c>
      <c r="B36" s="58" t="str">
        <f aca="false">IF($A36="","",INDEX(Inventory_Data!$B$5:$B$104,MATCH($A36,Inventory_Data!$U$5:$U$104,0)))</f>
        <v/>
      </c>
      <c r="C36" s="58" t="str">
        <f aca="false">IF($A36="","",INDEX(Inventory_Data!$C$5:$C$104,MATCH($A36,Inventory_Data!$U$5:$U$104,0)))</f>
        <v/>
      </c>
      <c r="D36" s="58" t="str">
        <f aca="false">IF($A36="","",INDEX(Inventory_Data!$D$5:$D$104,MATCH($A36,Inventory_Data!$U$5:$U$104,0)))</f>
        <v/>
      </c>
      <c r="E36" s="58" t="str">
        <f aca="false">IF($A36="","",INDEX(Inventory_Data!$E$5:$E$104,MATCH($A36,Inventory_Data!$U$5:$U$104,0)))</f>
        <v/>
      </c>
      <c r="F36" s="58" t="str">
        <f aca="false">IF($A36="","",INDEX(Inventory_Data!$F$5:$F$104,MATCH($A36,Inventory_Data!$U$5:$U$104,0)))</f>
        <v/>
      </c>
      <c r="G36" s="58" t="str">
        <f aca="false">IF($A36="","",INDEX(Inventory_Data!$G$5:$G$104,MATCH($A36,Inventory_Data!$U$5:$U$104,0)))</f>
        <v/>
      </c>
      <c r="H36" s="59" t="str">
        <f aca="false">IF($A36="","",INDEX(Inventory_Data!$I$5:$I$104,MATCH($A36,Inventory_Data!$U$5:$U$104,0)))</f>
        <v/>
      </c>
      <c r="I36" s="58" t="str">
        <f aca="false">IF($A36="","",INDEX(Inventory_Data!$N$5:$N$104,MATCH($A36,Inventory_Data!$U$5:$U$104,0)))</f>
        <v/>
      </c>
      <c r="J36" s="60" t="str">
        <f aca="false">IF($A36="","",INDEX(Inventory_Data!$M$5:$M$104,MATCH($A36,Inventory_Data!$U$5:$U$104,0)))</f>
        <v/>
      </c>
      <c r="K36" s="58" t="str">
        <f aca="false">IF($A36="","",INDEX(Inventory_Data!$K$5:$K$104,MATCH($A36,Inventory_Data!$U$5:$U$104,0)))</f>
        <v/>
      </c>
      <c r="L36" s="61" t="str">
        <f aca="false">IF($A36="","",INDEX(Inventory_Data!$J$5:$J$104,MATCH($A36,Inventory_Data!$U$5:$U$104,0)))</f>
        <v/>
      </c>
      <c r="M36" s="58" t="str">
        <f aca="false">IF($A36="","",INDEX(Inventory_Data!$O$5:$O$104,MATCH($A36,Inventory_Data!$U$5:$U$104,0)))</f>
        <v/>
      </c>
      <c r="N36" s="62" t="str">
        <f aca="false">IF($A36="","",INDEX(Inventory_Data!$Q$5:$Q$104,MATCH($A36,Inventory_Data!$U$5:$U$104,0)))</f>
        <v/>
      </c>
      <c r="O36" s="63" t="str">
        <f aca="false">IF($A36="","",INDEX(Inventory_Data!$R$5:$R$104,MATCH($A36,Inventory_Data!$U$5:$U$104,0)))</f>
        <v/>
      </c>
      <c r="P36" s="61" t="str">
        <f aca="false">IF($A36="","",INDEX(Inventory_Data!$S$5:$S$104,MATCH($A36,Inventory_Data!$U$5:$U$104,0)))</f>
        <v/>
      </c>
    </row>
    <row r="37" customFormat="false" ht="15" hidden="false" customHeight="false" outlineLevel="0" collapsed="false">
      <c r="A37" s="57" t="str">
        <f aca="false">IF(ROW()-4&lt;=COUNT(Inventory_Data!$U$5:$U$104),ROW()-4,"")</f>
        <v/>
      </c>
      <c r="B37" s="58" t="str">
        <f aca="false">IF($A37="","",INDEX(Inventory_Data!$B$5:$B$104,MATCH($A37,Inventory_Data!$U$5:$U$104,0)))</f>
        <v/>
      </c>
      <c r="C37" s="58" t="str">
        <f aca="false">IF($A37="","",INDEX(Inventory_Data!$C$5:$C$104,MATCH($A37,Inventory_Data!$U$5:$U$104,0)))</f>
        <v/>
      </c>
      <c r="D37" s="58" t="str">
        <f aca="false">IF($A37="","",INDEX(Inventory_Data!$D$5:$D$104,MATCH($A37,Inventory_Data!$U$5:$U$104,0)))</f>
        <v/>
      </c>
      <c r="E37" s="58" t="str">
        <f aca="false">IF($A37="","",INDEX(Inventory_Data!$E$5:$E$104,MATCH($A37,Inventory_Data!$U$5:$U$104,0)))</f>
        <v/>
      </c>
      <c r="F37" s="58" t="str">
        <f aca="false">IF($A37="","",INDEX(Inventory_Data!$F$5:$F$104,MATCH($A37,Inventory_Data!$U$5:$U$104,0)))</f>
        <v/>
      </c>
      <c r="G37" s="58" t="str">
        <f aca="false">IF($A37="","",INDEX(Inventory_Data!$G$5:$G$104,MATCH($A37,Inventory_Data!$U$5:$U$104,0)))</f>
        <v/>
      </c>
      <c r="H37" s="59" t="str">
        <f aca="false">IF($A37="","",INDEX(Inventory_Data!$I$5:$I$104,MATCH($A37,Inventory_Data!$U$5:$U$104,0)))</f>
        <v/>
      </c>
      <c r="I37" s="58" t="str">
        <f aca="false">IF($A37="","",INDEX(Inventory_Data!$N$5:$N$104,MATCH($A37,Inventory_Data!$U$5:$U$104,0)))</f>
        <v/>
      </c>
      <c r="J37" s="60" t="str">
        <f aca="false">IF($A37="","",INDEX(Inventory_Data!$M$5:$M$104,MATCH($A37,Inventory_Data!$U$5:$U$104,0)))</f>
        <v/>
      </c>
      <c r="K37" s="58" t="str">
        <f aca="false">IF($A37="","",INDEX(Inventory_Data!$K$5:$K$104,MATCH($A37,Inventory_Data!$U$5:$U$104,0)))</f>
        <v/>
      </c>
      <c r="L37" s="61" t="str">
        <f aca="false">IF($A37="","",INDEX(Inventory_Data!$J$5:$J$104,MATCH($A37,Inventory_Data!$U$5:$U$104,0)))</f>
        <v/>
      </c>
      <c r="M37" s="58" t="str">
        <f aca="false">IF($A37="","",INDEX(Inventory_Data!$O$5:$O$104,MATCH($A37,Inventory_Data!$U$5:$U$104,0)))</f>
        <v/>
      </c>
      <c r="N37" s="62" t="str">
        <f aca="false">IF($A37="","",INDEX(Inventory_Data!$Q$5:$Q$104,MATCH($A37,Inventory_Data!$U$5:$U$104,0)))</f>
        <v/>
      </c>
      <c r="O37" s="63" t="str">
        <f aca="false">IF($A37="","",INDEX(Inventory_Data!$R$5:$R$104,MATCH($A37,Inventory_Data!$U$5:$U$104,0)))</f>
        <v/>
      </c>
      <c r="P37" s="61" t="str">
        <f aca="false">IF($A37="","",INDEX(Inventory_Data!$S$5:$S$104,MATCH($A37,Inventory_Data!$U$5:$U$104,0)))</f>
        <v/>
      </c>
    </row>
    <row r="38" customFormat="false" ht="15" hidden="false" customHeight="false" outlineLevel="0" collapsed="false">
      <c r="A38" s="57" t="str">
        <f aca="false">IF(ROW()-4&lt;=COUNT(Inventory_Data!$U$5:$U$104),ROW()-4,"")</f>
        <v/>
      </c>
      <c r="B38" s="58" t="str">
        <f aca="false">IF($A38="","",INDEX(Inventory_Data!$B$5:$B$104,MATCH($A38,Inventory_Data!$U$5:$U$104,0)))</f>
        <v/>
      </c>
      <c r="C38" s="58" t="str">
        <f aca="false">IF($A38="","",INDEX(Inventory_Data!$C$5:$C$104,MATCH($A38,Inventory_Data!$U$5:$U$104,0)))</f>
        <v/>
      </c>
      <c r="D38" s="58" t="str">
        <f aca="false">IF($A38="","",INDEX(Inventory_Data!$D$5:$D$104,MATCH($A38,Inventory_Data!$U$5:$U$104,0)))</f>
        <v/>
      </c>
      <c r="E38" s="58" t="str">
        <f aca="false">IF($A38="","",INDEX(Inventory_Data!$E$5:$E$104,MATCH($A38,Inventory_Data!$U$5:$U$104,0)))</f>
        <v/>
      </c>
      <c r="F38" s="58" t="str">
        <f aca="false">IF($A38="","",INDEX(Inventory_Data!$F$5:$F$104,MATCH($A38,Inventory_Data!$U$5:$U$104,0)))</f>
        <v/>
      </c>
      <c r="G38" s="58" t="str">
        <f aca="false">IF($A38="","",INDEX(Inventory_Data!$G$5:$G$104,MATCH($A38,Inventory_Data!$U$5:$U$104,0)))</f>
        <v/>
      </c>
      <c r="H38" s="59" t="str">
        <f aca="false">IF($A38="","",INDEX(Inventory_Data!$I$5:$I$104,MATCH($A38,Inventory_Data!$U$5:$U$104,0)))</f>
        <v/>
      </c>
      <c r="I38" s="58" t="str">
        <f aca="false">IF($A38="","",INDEX(Inventory_Data!$N$5:$N$104,MATCH($A38,Inventory_Data!$U$5:$U$104,0)))</f>
        <v/>
      </c>
      <c r="J38" s="60" t="str">
        <f aca="false">IF($A38="","",INDEX(Inventory_Data!$M$5:$M$104,MATCH($A38,Inventory_Data!$U$5:$U$104,0)))</f>
        <v/>
      </c>
      <c r="K38" s="58" t="str">
        <f aca="false">IF($A38="","",INDEX(Inventory_Data!$K$5:$K$104,MATCH($A38,Inventory_Data!$U$5:$U$104,0)))</f>
        <v/>
      </c>
      <c r="L38" s="61" t="str">
        <f aca="false">IF($A38="","",INDEX(Inventory_Data!$J$5:$J$104,MATCH($A38,Inventory_Data!$U$5:$U$104,0)))</f>
        <v/>
      </c>
      <c r="M38" s="58" t="str">
        <f aca="false">IF($A38="","",INDEX(Inventory_Data!$O$5:$O$104,MATCH($A38,Inventory_Data!$U$5:$U$104,0)))</f>
        <v/>
      </c>
      <c r="N38" s="62" t="str">
        <f aca="false">IF($A38="","",INDEX(Inventory_Data!$Q$5:$Q$104,MATCH($A38,Inventory_Data!$U$5:$U$104,0)))</f>
        <v/>
      </c>
      <c r="O38" s="63" t="str">
        <f aca="false">IF($A38="","",INDEX(Inventory_Data!$R$5:$R$104,MATCH($A38,Inventory_Data!$U$5:$U$104,0)))</f>
        <v/>
      </c>
      <c r="P38" s="61" t="str">
        <f aca="false">IF($A38="","",INDEX(Inventory_Data!$S$5:$S$104,MATCH($A38,Inventory_Data!$U$5:$U$104,0)))</f>
        <v/>
      </c>
    </row>
    <row r="39" customFormat="false" ht="15" hidden="false" customHeight="false" outlineLevel="0" collapsed="false">
      <c r="A39" s="57" t="str">
        <f aca="false">IF(ROW()-4&lt;=COUNT(Inventory_Data!$U$5:$U$104),ROW()-4,"")</f>
        <v/>
      </c>
      <c r="B39" s="58" t="str">
        <f aca="false">IF($A39="","",INDEX(Inventory_Data!$B$5:$B$104,MATCH($A39,Inventory_Data!$U$5:$U$104,0)))</f>
        <v/>
      </c>
      <c r="C39" s="58" t="str">
        <f aca="false">IF($A39="","",INDEX(Inventory_Data!$C$5:$C$104,MATCH($A39,Inventory_Data!$U$5:$U$104,0)))</f>
        <v/>
      </c>
      <c r="D39" s="58" t="str">
        <f aca="false">IF($A39="","",INDEX(Inventory_Data!$D$5:$D$104,MATCH($A39,Inventory_Data!$U$5:$U$104,0)))</f>
        <v/>
      </c>
      <c r="E39" s="58" t="str">
        <f aca="false">IF($A39="","",INDEX(Inventory_Data!$E$5:$E$104,MATCH($A39,Inventory_Data!$U$5:$U$104,0)))</f>
        <v/>
      </c>
      <c r="F39" s="58" t="str">
        <f aca="false">IF($A39="","",INDEX(Inventory_Data!$F$5:$F$104,MATCH($A39,Inventory_Data!$U$5:$U$104,0)))</f>
        <v/>
      </c>
      <c r="G39" s="58" t="str">
        <f aca="false">IF($A39="","",INDEX(Inventory_Data!$G$5:$G$104,MATCH($A39,Inventory_Data!$U$5:$U$104,0)))</f>
        <v/>
      </c>
      <c r="H39" s="59" t="str">
        <f aca="false">IF($A39="","",INDEX(Inventory_Data!$I$5:$I$104,MATCH($A39,Inventory_Data!$U$5:$U$104,0)))</f>
        <v/>
      </c>
      <c r="I39" s="58" t="str">
        <f aca="false">IF($A39="","",INDEX(Inventory_Data!$N$5:$N$104,MATCH($A39,Inventory_Data!$U$5:$U$104,0)))</f>
        <v/>
      </c>
      <c r="J39" s="60" t="str">
        <f aca="false">IF($A39="","",INDEX(Inventory_Data!$M$5:$M$104,MATCH($A39,Inventory_Data!$U$5:$U$104,0)))</f>
        <v/>
      </c>
      <c r="K39" s="58" t="str">
        <f aca="false">IF($A39="","",INDEX(Inventory_Data!$K$5:$K$104,MATCH($A39,Inventory_Data!$U$5:$U$104,0)))</f>
        <v/>
      </c>
      <c r="L39" s="61" t="str">
        <f aca="false">IF($A39="","",INDEX(Inventory_Data!$J$5:$J$104,MATCH($A39,Inventory_Data!$U$5:$U$104,0)))</f>
        <v/>
      </c>
      <c r="M39" s="58" t="str">
        <f aca="false">IF($A39="","",INDEX(Inventory_Data!$O$5:$O$104,MATCH($A39,Inventory_Data!$U$5:$U$104,0)))</f>
        <v/>
      </c>
      <c r="N39" s="62" t="str">
        <f aca="false">IF($A39="","",INDEX(Inventory_Data!$Q$5:$Q$104,MATCH($A39,Inventory_Data!$U$5:$U$104,0)))</f>
        <v/>
      </c>
      <c r="O39" s="63" t="str">
        <f aca="false">IF($A39="","",INDEX(Inventory_Data!$R$5:$R$104,MATCH($A39,Inventory_Data!$U$5:$U$104,0)))</f>
        <v/>
      </c>
      <c r="P39" s="61" t="str">
        <f aca="false">IF($A39="","",INDEX(Inventory_Data!$S$5:$S$104,MATCH($A39,Inventory_Data!$U$5:$U$104,0)))</f>
        <v/>
      </c>
    </row>
    <row r="40" customFormat="false" ht="15" hidden="false" customHeight="false" outlineLevel="0" collapsed="false">
      <c r="A40" s="57" t="str">
        <f aca="false">IF(ROW()-4&lt;=COUNT(Inventory_Data!$U$5:$U$104),ROW()-4,"")</f>
        <v/>
      </c>
      <c r="B40" s="58" t="str">
        <f aca="false">IF($A40="","",INDEX(Inventory_Data!$B$5:$B$104,MATCH($A40,Inventory_Data!$U$5:$U$104,0)))</f>
        <v/>
      </c>
      <c r="C40" s="58" t="str">
        <f aca="false">IF($A40="","",INDEX(Inventory_Data!$C$5:$C$104,MATCH($A40,Inventory_Data!$U$5:$U$104,0)))</f>
        <v/>
      </c>
      <c r="D40" s="58" t="str">
        <f aca="false">IF($A40="","",INDEX(Inventory_Data!$D$5:$D$104,MATCH($A40,Inventory_Data!$U$5:$U$104,0)))</f>
        <v/>
      </c>
      <c r="E40" s="58" t="str">
        <f aca="false">IF($A40="","",INDEX(Inventory_Data!$E$5:$E$104,MATCH($A40,Inventory_Data!$U$5:$U$104,0)))</f>
        <v/>
      </c>
      <c r="F40" s="58" t="str">
        <f aca="false">IF($A40="","",INDEX(Inventory_Data!$F$5:$F$104,MATCH($A40,Inventory_Data!$U$5:$U$104,0)))</f>
        <v/>
      </c>
      <c r="G40" s="58" t="str">
        <f aca="false">IF($A40="","",INDEX(Inventory_Data!$G$5:$G$104,MATCH($A40,Inventory_Data!$U$5:$U$104,0)))</f>
        <v/>
      </c>
      <c r="H40" s="59" t="str">
        <f aca="false">IF($A40="","",INDEX(Inventory_Data!$I$5:$I$104,MATCH($A40,Inventory_Data!$U$5:$U$104,0)))</f>
        <v/>
      </c>
      <c r="I40" s="58" t="str">
        <f aca="false">IF($A40="","",INDEX(Inventory_Data!$N$5:$N$104,MATCH($A40,Inventory_Data!$U$5:$U$104,0)))</f>
        <v/>
      </c>
      <c r="J40" s="60" t="str">
        <f aca="false">IF($A40="","",INDEX(Inventory_Data!$M$5:$M$104,MATCH($A40,Inventory_Data!$U$5:$U$104,0)))</f>
        <v/>
      </c>
      <c r="K40" s="58" t="str">
        <f aca="false">IF($A40="","",INDEX(Inventory_Data!$K$5:$K$104,MATCH($A40,Inventory_Data!$U$5:$U$104,0)))</f>
        <v/>
      </c>
      <c r="L40" s="61" t="str">
        <f aca="false">IF($A40="","",INDEX(Inventory_Data!$J$5:$J$104,MATCH($A40,Inventory_Data!$U$5:$U$104,0)))</f>
        <v/>
      </c>
      <c r="M40" s="58" t="str">
        <f aca="false">IF($A40="","",INDEX(Inventory_Data!$O$5:$O$104,MATCH($A40,Inventory_Data!$U$5:$U$104,0)))</f>
        <v/>
      </c>
      <c r="N40" s="62" t="str">
        <f aca="false">IF($A40="","",INDEX(Inventory_Data!$Q$5:$Q$104,MATCH($A40,Inventory_Data!$U$5:$U$104,0)))</f>
        <v/>
      </c>
      <c r="O40" s="63" t="str">
        <f aca="false">IF($A40="","",INDEX(Inventory_Data!$R$5:$R$104,MATCH($A40,Inventory_Data!$U$5:$U$104,0)))</f>
        <v/>
      </c>
      <c r="P40" s="61" t="str">
        <f aca="false">IF($A40="","",INDEX(Inventory_Data!$S$5:$S$104,MATCH($A40,Inventory_Data!$U$5:$U$104,0)))</f>
        <v/>
      </c>
    </row>
    <row r="41" customFormat="false" ht="15" hidden="false" customHeight="false" outlineLevel="0" collapsed="false">
      <c r="A41" s="57" t="str">
        <f aca="false">IF(ROW()-4&lt;=COUNT(Inventory_Data!$U$5:$U$104),ROW()-4,"")</f>
        <v/>
      </c>
      <c r="B41" s="58" t="str">
        <f aca="false">IF($A41="","",INDEX(Inventory_Data!$B$5:$B$104,MATCH($A41,Inventory_Data!$U$5:$U$104,0)))</f>
        <v/>
      </c>
      <c r="C41" s="58" t="str">
        <f aca="false">IF($A41="","",INDEX(Inventory_Data!$C$5:$C$104,MATCH($A41,Inventory_Data!$U$5:$U$104,0)))</f>
        <v/>
      </c>
      <c r="D41" s="58" t="str">
        <f aca="false">IF($A41="","",INDEX(Inventory_Data!$D$5:$D$104,MATCH($A41,Inventory_Data!$U$5:$U$104,0)))</f>
        <v/>
      </c>
      <c r="E41" s="58" t="str">
        <f aca="false">IF($A41="","",INDEX(Inventory_Data!$E$5:$E$104,MATCH($A41,Inventory_Data!$U$5:$U$104,0)))</f>
        <v/>
      </c>
      <c r="F41" s="58" t="str">
        <f aca="false">IF($A41="","",INDEX(Inventory_Data!$F$5:$F$104,MATCH($A41,Inventory_Data!$U$5:$U$104,0)))</f>
        <v/>
      </c>
      <c r="G41" s="58" t="str">
        <f aca="false">IF($A41="","",INDEX(Inventory_Data!$G$5:$G$104,MATCH($A41,Inventory_Data!$U$5:$U$104,0)))</f>
        <v/>
      </c>
      <c r="H41" s="59" t="str">
        <f aca="false">IF($A41="","",INDEX(Inventory_Data!$I$5:$I$104,MATCH($A41,Inventory_Data!$U$5:$U$104,0)))</f>
        <v/>
      </c>
      <c r="I41" s="58" t="str">
        <f aca="false">IF($A41="","",INDEX(Inventory_Data!$N$5:$N$104,MATCH($A41,Inventory_Data!$U$5:$U$104,0)))</f>
        <v/>
      </c>
      <c r="J41" s="60" t="str">
        <f aca="false">IF($A41="","",INDEX(Inventory_Data!$M$5:$M$104,MATCH($A41,Inventory_Data!$U$5:$U$104,0)))</f>
        <v/>
      </c>
      <c r="K41" s="58" t="str">
        <f aca="false">IF($A41="","",INDEX(Inventory_Data!$K$5:$K$104,MATCH($A41,Inventory_Data!$U$5:$U$104,0)))</f>
        <v/>
      </c>
      <c r="L41" s="61" t="str">
        <f aca="false">IF($A41="","",INDEX(Inventory_Data!$J$5:$J$104,MATCH($A41,Inventory_Data!$U$5:$U$104,0)))</f>
        <v/>
      </c>
      <c r="M41" s="58" t="str">
        <f aca="false">IF($A41="","",INDEX(Inventory_Data!$O$5:$O$104,MATCH($A41,Inventory_Data!$U$5:$U$104,0)))</f>
        <v/>
      </c>
      <c r="N41" s="62" t="str">
        <f aca="false">IF($A41="","",INDEX(Inventory_Data!$Q$5:$Q$104,MATCH($A41,Inventory_Data!$U$5:$U$104,0)))</f>
        <v/>
      </c>
      <c r="O41" s="63" t="str">
        <f aca="false">IF($A41="","",INDEX(Inventory_Data!$R$5:$R$104,MATCH($A41,Inventory_Data!$U$5:$U$104,0)))</f>
        <v/>
      </c>
      <c r="P41" s="61" t="str">
        <f aca="false">IF($A41="","",INDEX(Inventory_Data!$S$5:$S$104,MATCH($A41,Inventory_Data!$U$5:$U$104,0)))</f>
        <v/>
      </c>
    </row>
    <row r="42" customFormat="false" ht="15" hidden="false" customHeight="false" outlineLevel="0" collapsed="false">
      <c r="A42" s="57" t="str">
        <f aca="false">IF(ROW()-4&lt;=COUNT(Inventory_Data!$U$5:$U$104),ROW()-4,"")</f>
        <v/>
      </c>
      <c r="B42" s="58" t="str">
        <f aca="false">IF($A42="","",INDEX(Inventory_Data!$B$5:$B$104,MATCH($A42,Inventory_Data!$U$5:$U$104,0)))</f>
        <v/>
      </c>
      <c r="C42" s="58" t="str">
        <f aca="false">IF($A42="","",INDEX(Inventory_Data!$C$5:$C$104,MATCH($A42,Inventory_Data!$U$5:$U$104,0)))</f>
        <v/>
      </c>
      <c r="D42" s="58" t="str">
        <f aca="false">IF($A42="","",INDEX(Inventory_Data!$D$5:$D$104,MATCH($A42,Inventory_Data!$U$5:$U$104,0)))</f>
        <v/>
      </c>
      <c r="E42" s="58" t="str">
        <f aca="false">IF($A42="","",INDEX(Inventory_Data!$E$5:$E$104,MATCH($A42,Inventory_Data!$U$5:$U$104,0)))</f>
        <v/>
      </c>
      <c r="F42" s="58" t="str">
        <f aca="false">IF($A42="","",INDEX(Inventory_Data!$F$5:$F$104,MATCH($A42,Inventory_Data!$U$5:$U$104,0)))</f>
        <v/>
      </c>
      <c r="G42" s="58" t="str">
        <f aca="false">IF($A42="","",INDEX(Inventory_Data!$G$5:$G$104,MATCH($A42,Inventory_Data!$U$5:$U$104,0)))</f>
        <v/>
      </c>
      <c r="H42" s="59" t="str">
        <f aca="false">IF($A42="","",INDEX(Inventory_Data!$I$5:$I$104,MATCH($A42,Inventory_Data!$U$5:$U$104,0)))</f>
        <v/>
      </c>
      <c r="I42" s="58" t="str">
        <f aca="false">IF($A42="","",INDEX(Inventory_Data!$N$5:$N$104,MATCH($A42,Inventory_Data!$U$5:$U$104,0)))</f>
        <v/>
      </c>
      <c r="J42" s="60" t="str">
        <f aca="false">IF($A42="","",INDEX(Inventory_Data!$M$5:$M$104,MATCH($A42,Inventory_Data!$U$5:$U$104,0)))</f>
        <v/>
      </c>
      <c r="K42" s="58" t="str">
        <f aca="false">IF($A42="","",INDEX(Inventory_Data!$K$5:$K$104,MATCH($A42,Inventory_Data!$U$5:$U$104,0)))</f>
        <v/>
      </c>
      <c r="L42" s="61" t="str">
        <f aca="false">IF($A42="","",INDEX(Inventory_Data!$J$5:$J$104,MATCH($A42,Inventory_Data!$U$5:$U$104,0)))</f>
        <v/>
      </c>
      <c r="M42" s="58" t="str">
        <f aca="false">IF($A42="","",INDEX(Inventory_Data!$O$5:$O$104,MATCH($A42,Inventory_Data!$U$5:$U$104,0)))</f>
        <v/>
      </c>
      <c r="N42" s="62" t="str">
        <f aca="false">IF($A42="","",INDEX(Inventory_Data!$Q$5:$Q$104,MATCH($A42,Inventory_Data!$U$5:$U$104,0)))</f>
        <v/>
      </c>
      <c r="O42" s="63" t="str">
        <f aca="false">IF($A42="","",INDEX(Inventory_Data!$R$5:$R$104,MATCH($A42,Inventory_Data!$U$5:$U$104,0)))</f>
        <v/>
      </c>
      <c r="P42" s="61" t="str">
        <f aca="false">IF($A42="","",INDEX(Inventory_Data!$S$5:$S$104,MATCH($A42,Inventory_Data!$U$5:$U$104,0)))</f>
        <v/>
      </c>
    </row>
    <row r="43" customFormat="false" ht="15" hidden="false" customHeight="false" outlineLevel="0" collapsed="false">
      <c r="A43" s="57" t="str">
        <f aca="false">IF(ROW()-4&lt;=COUNT(Inventory_Data!$U$5:$U$104),ROW()-4,"")</f>
        <v/>
      </c>
      <c r="B43" s="58" t="str">
        <f aca="false">IF($A43="","",INDEX(Inventory_Data!$B$5:$B$104,MATCH($A43,Inventory_Data!$U$5:$U$104,0)))</f>
        <v/>
      </c>
      <c r="C43" s="58" t="str">
        <f aca="false">IF($A43="","",INDEX(Inventory_Data!$C$5:$C$104,MATCH($A43,Inventory_Data!$U$5:$U$104,0)))</f>
        <v/>
      </c>
      <c r="D43" s="58" t="str">
        <f aca="false">IF($A43="","",INDEX(Inventory_Data!$D$5:$D$104,MATCH($A43,Inventory_Data!$U$5:$U$104,0)))</f>
        <v/>
      </c>
      <c r="E43" s="58" t="str">
        <f aca="false">IF($A43="","",INDEX(Inventory_Data!$E$5:$E$104,MATCH($A43,Inventory_Data!$U$5:$U$104,0)))</f>
        <v/>
      </c>
      <c r="F43" s="58" t="str">
        <f aca="false">IF($A43="","",INDEX(Inventory_Data!$F$5:$F$104,MATCH($A43,Inventory_Data!$U$5:$U$104,0)))</f>
        <v/>
      </c>
      <c r="G43" s="58" t="str">
        <f aca="false">IF($A43="","",INDEX(Inventory_Data!$G$5:$G$104,MATCH($A43,Inventory_Data!$U$5:$U$104,0)))</f>
        <v/>
      </c>
      <c r="H43" s="59" t="str">
        <f aca="false">IF($A43="","",INDEX(Inventory_Data!$I$5:$I$104,MATCH($A43,Inventory_Data!$U$5:$U$104,0)))</f>
        <v/>
      </c>
      <c r="I43" s="58" t="str">
        <f aca="false">IF($A43="","",INDEX(Inventory_Data!$N$5:$N$104,MATCH($A43,Inventory_Data!$U$5:$U$104,0)))</f>
        <v/>
      </c>
      <c r="J43" s="60" t="str">
        <f aca="false">IF($A43="","",INDEX(Inventory_Data!$M$5:$M$104,MATCH($A43,Inventory_Data!$U$5:$U$104,0)))</f>
        <v/>
      </c>
      <c r="K43" s="58" t="str">
        <f aca="false">IF($A43="","",INDEX(Inventory_Data!$K$5:$K$104,MATCH($A43,Inventory_Data!$U$5:$U$104,0)))</f>
        <v/>
      </c>
      <c r="L43" s="61" t="str">
        <f aca="false">IF($A43="","",INDEX(Inventory_Data!$J$5:$J$104,MATCH($A43,Inventory_Data!$U$5:$U$104,0)))</f>
        <v/>
      </c>
      <c r="M43" s="58" t="str">
        <f aca="false">IF($A43="","",INDEX(Inventory_Data!$O$5:$O$104,MATCH($A43,Inventory_Data!$U$5:$U$104,0)))</f>
        <v/>
      </c>
      <c r="N43" s="62" t="str">
        <f aca="false">IF($A43="","",INDEX(Inventory_Data!$Q$5:$Q$104,MATCH($A43,Inventory_Data!$U$5:$U$104,0)))</f>
        <v/>
      </c>
      <c r="O43" s="63" t="str">
        <f aca="false">IF($A43="","",INDEX(Inventory_Data!$R$5:$R$104,MATCH($A43,Inventory_Data!$U$5:$U$104,0)))</f>
        <v/>
      </c>
      <c r="P43" s="61" t="str">
        <f aca="false">IF($A43="","",INDEX(Inventory_Data!$S$5:$S$104,MATCH($A43,Inventory_Data!$U$5:$U$104,0)))</f>
        <v/>
      </c>
    </row>
    <row r="44" customFormat="false" ht="15" hidden="false" customHeight="false" outlineLevel="0" collapsed="false">
      <c r="A44" s="57" t="str">
        <f aca="false">IF(ROW()-4&lt;=COUNT(Inventory_Data!$U$5:$U$104),ROW()-4,"")</f>
        <v/>
      </c>
      <c r="B44" s="58" t="str">
        <f aca="false">IF($A44="","",INDEX(Inventory_Data!$B$5:$B$104,MATCH($A44,Inventory_Data!$U$5:$U$104,0)))</f>
        <v/>
      </c>
      <c r="C44" s="58" t="str">
        <f aca="false">IF($A44="","",INDEX(Inventory_Data!$C$5:$C$104,MATCH($A44,Inventory_Data!$U$5:$U$104,0)))</f>
        <v/>
      </c>
      <c r="D44" s="58" t="str">
        <f aca="false">IF($A44="","",INDEX(Inventory_Data!$D$5:$D$104,MATCH($A44,Inventory_Data!$U$5:$U$104,0)))</f>
        <v/>
      </c>
      <c r="E44" s="58" t="str">
        <f aca="false">IF($A44="","",INDEX(Inventory_Data!$E$5:$E$104,MATCH($A44,Inventory_Data!$U$5:$U$104,0)))</f>
        <v/>
      </c>
      <c r="F44" s="58" t="str">
        <f aca="false">IF($A44="","",INDEX(Inventory_Data!$F$5:$F$104,MATCH($A44,Inventory_Data!$U$5:$U$104,0)))</f>
        <v/>
      </c>
      <c r="G44" s="58" t="str">
        <f aca="false">IF($A44="","",INDEX(Inventory_Data!$G$5:$G$104,MATCH($A44,Inventory_Data!$U$5:$U$104,0)))</f>
        <v/>
      </c>
      <c r="H44" s="59" t="str">
        <f aca="false">IF($A44="","",INDEX(Inventory_Data!$I$5:$I$104,MATCH($A44,Inventory_Data!$U$5:$U$104,0)))</f>
        <v/>
      </c>
      <c r="I44" s="58" t="str">
        <f aca="false">IF($A44="","",INDEX(Inventory_Data!$N$5:$N$104,MATCH($A44,Inventory_Data!$U$5:$U$104,0)))</f>
        <v/>
      </c>
      <c r="J44" s="60" t="str">
        <f aca="false">IF($A44="","",INDEX(Inventory_Data!$M$5:$M$104,MATCH($A44,Inventory_Data!$U$5:$U$104,0)))</f>
        <v/>
      </c>
      <c r="K44" s="58" t="str">
        <f aca="false">IF($A44="","",INDEX(Inventory_Data!$K$5:$K$104,MATCH($A44,Inventory_Data!$U$5:$U$104,0)))</f>
        <v/>
      </c>
      <c r="L44" s="61" t="str">
        <f aca="false">IF($A44="","",INDEX(Inventory_Data!$J$5:$J$104,MATCH($A44,Inventory_Data!$U$5:$U$104,0)))</f>
        <v/>
      </c>
      <c r="M44" s="58" t="str">
        <f aca="false">IF($A44="","",INDEX(Inventory_Data!$O$5:$O$104,MATCH($A44,Inventory_Data!$U$5:$U$104,0)))</f>
        <v/>
      </c>
      <c r="N44" s="62" t="str">
        <f aca="false">IF($A44="","",INDEX(Inventory_Data!$Q$5:$Q$104,MATCH($A44,Inventory_Data!$U$5:$U$104,0)))</f>
        <v/>
      </c>
      <c r="O44" s="63" t="str">
        <f aca="false">IF($A44="","",INDEX(Inventory_Data!$R$5:$R$104,MATCH($A44,Inventory_Data!$U$5:$U$104,0)))</f>
        <v/>
      </c>
      <c r="P44" s="61" t="str">
        <f aca="false">IF($A44="","",INDEX(Inventory_Data!$S$5:$S$104,MATCH($A44,Inventory_Data!$U$5:$U$104,0)))</f>
        <v/>
      </c>
    </row>
    <row r="45" customFormat="false" ht="15" hidden="false" customHeight="false" outlineLevel="0" collapsed="false">
      <c r="A45" s="57" t="str">
        <f aca="false">IF(ROW()-4&lt;=COUNT(Inventory_Data!$U$5:$U$104),ROW()-4,"")</f>
        <v/>
      </c>
      <c r="B45" s="58" t="str">
        <f aca="false">IF($A45="","",INDEX(Inventory_Data!$B$5:$B$104,MATCH($A45,Inventory_Data!$U$5:$U$104,0)))</f>
        <v/>
      </c>
      <c r="C45" s="58" t="str">
        <f aca="false">IF($A45="","",INDEX(Inventory_Data!$C$5:$C$104,MATCH($A45,Inventory_Data!$U$5:$U$104,0)))</f>
        <v/>
      </c>
      <c r="D45" s="58" t="str">
        <f aca="false">IF($A45="","",INDEX(Inventory_Data!$D$5:$D$104,MATCH($A45,Inventory_Data!$U$5:$U$104,0)))</f>
        <v/>
      </c>
      <c r="E45" s="58" t="str">
        <f aca="false">IF($A45="","",INDEX(Inventory_Data!$E$5:$E$104,MATCH($A45,Inventory_Data!$U$5:$U$104,0)))</f>
        <v/>
      </c>
      <c r="F45" s="58" t="str">
        <f aca="false">IF($A45="","",INDEX(Inventory_Data!$F$5:$F$104,MATCH($A45,Inventory_Data!$U$5:$U$104,0)))</f>
        <v/>
      </c>
      <c r="G45" s="58" t="str">
        <f aca="false">IF($A45="","",INDEX(Inventory_Data!$G$5:$G$104,MATCH($A45,Inventory_Data!$U$5:$U$104,0)))</f>
        <v/>
      </c>
      <c r="H45" s="59" t="str">
        <f aca="false">IF($A45="","",INDEX(Inventory_Data!$I$5:$I$104,MATCH($A45,Inventory_Data!$U$5:$U$104,0)))</f>
        <v/>
      </c>
      <c r="I45" s="58" t="str">
        <f aca="false">IF($A45="","",INDEX(Inventory_Data!$N$5:$N$104,MATCH($A45,Inventory_Data!$U$5:$U$104,0)))</f>
        <v/>
      </c>
      <c r="J45" s="60" t="str">
        <f aca="false">IF($A45="","",INDEX(Inventory_Data!$M$5:$M$104,MATCH($A45,Inventory_Data!$U$5:$U$104,0)))</f>
        <v/>
      </c>
      <c r="K45" s="58" t="str">
        <f aca="false">IF($A45="","",INDEX(Inventory_Data!$K$5:$K$104,MATCH($A45,Inventory_Data!$U$5:$U$104,0)))</f>
        <v/>
      </c>
      <c r="L45" s="61" t="str">
        <f aca="false">IF($A45="","",INDEX(Inventory_Data!$J$5:$J$104,MATCH($A45,Inventory_Data!$U$5:$U$104,0)))</f>
        <v/>
      </c>
      <c r="M45" s="58" t="str">
        <f aca="false">IF($A45="","",INDEX(Inventory_Data!$O$5:$O$104,MATCH($A45,Inventory_Data!$U$5:$U$104,0)))</f>
        <v/>
      </c>
      <c r="N45" s="62" t="str">
        <f aca="false">IF($A45="","",INDEX(Inventory_Data!$Q$5:$Q$104,MATCH($A45,Inventory_Data!$U$5:$U$104,0)))</f>
        <v/>
      </c>
      <c r="O45" s="63" t="str">
        <f aca="false">IF($A45="","",INDEX(Inventory_Data!$R$5:$R$104,MATCH($A45,Inventory_Data!$U$5:$U$104,0)))</f>
        <v/>
      </c>
      <c r="P45" s="61" t="str">
        <f aca="false">IF($A45="","",INDEX(Inventory_Data!$S$5:$S$104,MATCH($A45,Inventory_Data!$U$5:$U$104,0)))</f>
        <v/>
      </c>
    </row>
    <row r="46" customFormat="false" ht="15" hidden="false" customHeight="false" outlineLevel="0" collapsed="false">
      <c r="A46" s="57" t="str">
        <f aca="false">IF(ROW()-4&lt;=COUNT(Inventory_Data!$U$5:$U$104),ROW()-4,"")</f>
        <v/>
      </c>
      <c r="B46" s="58" t="str">
        <f aca="false">IF($A46="","",INDEX(Inventory_Data!$B$5:$B$104,MATCH($A46,Inventory_Data!$U$5:$U$104,0)))</f>
        <v/>
      </c>
      <c r="C46" s="58" t="str">
        <f aca="false">IF($A46="","",INDEX(Inventory_Data!$C$5:$C$104,MATCH($A46,Inventory_Data!$U$5:$U$104,0)))</f>
        <v/>
      </c>
      <c r="D46" s="58" t="str">
        <f aca="false">IF($A46="","",INDEX(Inventory_Data!$D$5:$D$104,MATCH($A46,Inventory_Data!$U$5:$U$104,0)))</f>
        <v/>
      </c>
      <c r="E46" s="58" t="str">
        <f aca="false">IF($A46="","",INDEX(Inventory_Data!$E$5:$E$104,MATCH($A46,Inventory_Data!$U$5:$U$104,0)))</f>
        <v/>
      </c>
      <c r="F46" s="58" t="str">
        <f aca="false">IF($A46="","",INDEX(Inventory_Data!$F$5:$F$104,MATCH($A46,Inventory_Data!$U$5:$U$104,0)))</f>
        <v/>
      </c>
      <c r="G46" s="58" t="str">
        <f aca="false">IF($A46="","",INDEX(Inventory_Data!$G$5:$G$104,MATCH($A46,Inventory_Data!$U$5:$U$104,0)))</f>
        <v/>
      </c>
      <c r="H46" s="59" t="str">
        <f aca="false">IF($A46="","",INDEX(Inventory_Data!$I$5:$I$104,MATCH($A46,Inventory_Data!$U$5:$U$104,0)))</f>
        <v/>
      </c>
      <c r="I46" s="58" t="str">
        <f aca="false">IF($A46="","",INDEX(Inventory_Data!$N$5:$N$104,MATCH($A46,Inventory_Data!$U$5:$U$104,0)))</f>
        <v/>
      </c>
      <c r="J46" s="60" t="str">
        <f aca="false">IF($A46="","",INDEX(Inventory_Data!$M$5:$M$104,MATCH($A46,Inventory_Data!$U$5:$U$104,0)))</f>
        <v/>
      </c>
      <c r="K46" s="58" t="str">
        <f aca="false">IF($A46="","",INDEX(Inventory_Data!$K$5:$K$104,MATCH($A46,Inventory_Data!$U$5:$U$104,0)))</f>
        <v/>
      </c>
      <c r="L46" s="61" t="str">
        <f aca="false">IF($A46="","",INDEX(Inventory_Data!$J$5:$J$104,MATCH($A46,Inventory_Data!$U$5:$U$104,0)))</f>
        <v/>
      </c>
      <c r="M46" s="58" t="str">
        <f aca="false">IF($A46="","",INDEX(Inventory_Data!$O$5:$O$104,MATCH($A46,Inventory_Data!$U$5:$U$104,0)))</f>
        <v/>
      </c>
      <c r="N46" s="62" t="str">
        <f aca="false">IF($A46="","",INDEX(Inventory_Data!$Q$5:$Q$104,MATCH($A46,Inventory_Data!$U$5:$U$104,0)))</f>
        <v/>
      </c>
      <c r="O46" s="63" t="str">
        <f aca="false">IF($A46="","",INDEX(Inventory_Data!$R$5:$R$104,MATCH($A46,Inventory_Data!$U$5:$U$104,0)))</f>
        <v/>
      </c>
      <c r="P46" s="61" t="str">
        <f aca="false">IF($A46="","",INDEX(Inventory_Data!$S$5:$S$104,MATCH($A46,Inventory_Data!$U$5:$U$104,0)))</f>
        <v/>
      </c>
    </row>
    <row r="47" customFormat="false" ht="15" hidden="false" customHeight="false" outlineLevel="0" collapsed="false">
      <c r="A47" s="57" t="str">
        <f aca="false">IF(ROW()-4&lt;=COUNT(Inventory_Data!$U$5:$U$104),ROW()-4,"")</f>
        <v/>
      </c>
      <c r="B47" s="58" t="str">
        <f aca="false">IF($A47="","",INDEX(Inventory_Data!$B$5:$B$104,MATCH($A47,Inventory_Data!$U$5:$U$104,0)))</f>
        <v/>
      </c>
      <c r="C47" s="58" t="str">
        <f aca="false">IF($A47="","",INDEX(Inventory_Data!$C$5:$C$104,MATCH($A47,Inventory_Data!$U$5:$U$104,0)))</f>
        <v/>
      </c>
      <c r="D47" s="58" t="str">
        <f aca="false">IF($A47="","",INDEX(Inventory_Data!$D$5:$D$104,MATCH($A47,Inventory_Data!$U$5:$U$104,0)))</f>
        <v/>
      </c>
      <c r="E47" s="58" t="str">
        <f aca="false">IF($A47="","",INDEX(Inventory_Data!$E$5:$E$104,MATCH($A47,Inventory_Data!$U$5:$U$104,0)))</f>
        <v/>
      </c>
      <c r="F47" s="58" t="str">
        <f aca="false">IF($A47="","",INDEX(Inventory_Data!$F$5:$F$104,MATCH($A47,Inventory_Data!$U$5:$U$104,0)))</f>
        <v/>
      </c>
      <c r="G47" s="58" t="str">
        <f aca="false">IF($A47="","",INDEX(Inventory_Data!$G$5:$G$104,MATCH($A47,Inventory_Data!$U$5:$U$104,0)))</f>
        <v/>
      </c>
      <c r="H47" s="59" t="str">
        <f aca="false">IF($A47="","",INDEX(Inventory_Data!$I$5:$I$104,MATCH($A47,Inventory_Data!$U$5:$U$104,0)))</f>
        <v/>
      </c>
      <c r="I47" s="58" t="str">
        <f aca="false">IF($A47="","",INDEX(Inventory_Data!$N$5:$N$104,MATCH($A47,Inventory_Data!$U$5:$U$104,0)))</f>
        <v/>
      </c>
      <c r="J47" s="60" t="str">
        <f aca="false">IF($A47="","",INDEX(Inventory_Data!$M$5:$M$104,MATCH($A47,Inventory_Data!$U$5:$U$104,0)))</f>
        <v/>
      </c>
      <c r="K47" s="58" t="str">
        <f aca="false">IF($A47="","",INDEX(Inventory_Data!$K$5:$K$104,MATCH($A47,Inventory_Data!$U$5:$U$104,0)))</f>
        <v/>
      </c>
      <c r="L47" s="61" t="str">
        <f aca="false">IF($A47="","",INDEX(Inventory_Data!$J$5:$J$104,MATCH($A47,Inventory_Data!$U$5:$U$104,0)))</f>
        <v/>
      </c>
      <c r="M47" s="58" t="str">
        <f aca="false">IF($A47="","",INDEX(Inventory_Data!$O$5:$O$104,MATCH($A47,Inventory_Data!$U$5:$U$104,0)))</f>
        <v/>
      </c>
      <c r="N47" s="62" t="str">
        <f aca="false">IF($A47="","",INDEX(Inventory_Data!$Q$5:$Q$104,MATCH($A47,Inventory_Data!$U$5:$U$104,0)))</f>
        <v/>
      </c>
      <c r="O47" s="63" t="str">
        <f aca="false">IF($A47="","",INDEX(Inventory_Data!$R$5:$R$104,MATCH($A47,Inventory_Data!$U$5:$U$104,0)))</f>
        <v/>
      </c>
      <c r="P47" s="61" t="str">
        <f aca="false">IF($A47="","",INDEX(Inventory_Data!$S$5:$S$104,MATCH($A47,Inventory_Data!$U$5:$U$104,0)))</f>
        <v/>
      </c>
    </row>
    <row r="48" customFormat="false" ht="15" hidden="false" customHeight="false" outlineLevel="0" collapsed="false">
      <c r="A48" s="57" t="str">
        <f aca="false">IF(ROW()-4&lt;=COUNT(Inventory_Data!$U$5:$U$104),ROW()-4,"")</f>
        <v/>
      </c>
      <c r="B48" s="58" t="str">
        <f aca="false">IF($A48="","",INDEX(Inventory_Data!$B$5:$B$104,MATCH($A48,Inventory_Data!$U$5:$U$104,0)))</f>
        <v/>
      </c>
      <c r="C48" s="58" t="str">
        <f aca="false">IF($A48="","",INDEX(Inventory_Data!$C$5:$C$104,MATCH($A48,Inventory_Data!$U$5:$U$104,0)))</f>
        <v/>
      </c>
      <c r="D48" s="58" t="str">
        <f aca="false">IF($A48="","",INDEX(Inventory_Data!$D$5:$D$104,MATCH($A48,Inventory_Data!$U$5:$U$104,0)))</f>
        <v/>
      </c>
      <c r="E48" s="58" t="str">
        <f aca="false">IF($A48="","",INDEX(Inventory_Data!$E$5:$E$104,MATCH($A48,Inventory_Data!$U$5:$U$104,0)))</f>
        <v/>
      </c>
      <c r="F48" s="58" t="str">
        <f aca="false">IF($A48="","",INDEX(Inventory_Data!$F$5:$F$104,MATCH($A48,Inventory_Data!$U$5:$U$104,0)))</f>
        <v/>
      </c>
      <c r="G48" s="58" t="str">
        <f aca="false">IF($A48="","",INDEX(Inventory_Data!$G$5:$G$104,MATCH($A48,Inventory_Data!$U$5:$U$104,0)))</f>
        <v/>
      </c>
      <c r="H48" s="59" t="str">
        <f aca="false">IF($A48="","",INDEX(Inventory_Data!$I$5:$I$104,MATCH($A48,Inventory_Data!$U$5:$U$104,0)))</f>
        <v/>
      </c>
      <c r="I48" s="58" t="str">
        <f aca="false">IF($A48="","",INDEX(Inventory_Data!$N$5:$N$104,MATCH($A48,Inventory_Data!$U$5:$U$104,0)))</f>
        <v/>
      </c>
      <c r="J48" s="60" t="str">
        <f aca="false">IF($A48="","",INDEX(Inventory_Data!$M$5:$M$104,MATCH($A48,Inventory_Data!$U$5:$U$104,0)))</f>
        <v/>
      </c>
      <c r="K48" s="58" t="str">
        <f aca="false">IF($A48="","",INDEX(Inventory_Data!$K$5:$K$104,MATCH($A48,Inventory_Data!$U$5:$U$104,0)))</f>
        <v/>
      </c>
      <c r="L48" s="61" t="str">
        <f aca="false">IF($A48="","",INDEX(Inventory_Data!$J$5:$J$104,MATCH($A48,Inventory_Data!$U$5:$U$104,0)))</f>
        <v/>
      </c>
      <c r="M48" s="58" t="str">
        <f aca="false">IF($A48="","",INDEX(Inventory_Data!$O$5:$O$104,MATCH($A48,Inventory_Data!$U$5:$U$104,0)))</f>
        <v/>
      </c>
      <c r="N48" s="62" t="str">
        <f aca="false">IF($A48="","",INDEX(Inventory_Data!$Q$5:$Q$104,MATCH($A48,Inventory_Data!$U$5:$U$104,0)))</f>
        <v/>
      </c>
      <c r="O48" s="63" t="str">
        <f aca="false">IF($A48="","",INDEX(Inventory_Data!$R$5:$R$104,MATCH($A48,Inventory_Data!$U$5:$U$104,0)))</f>
        <v/>
      </c>
      <c r="P48" s="61" t="str">
        <f aca="false">IF($A48="","",INDEX(Inventory_Data!$S$5:$S$104,MATCH($A48,Inventory_Data!$U$5:$U$104,0)))</f>
        <v/>
      </c>
    </row>
    <row r="49" customFormat="false" ht="15" hidden="false" customHeight="false" outlineLevel="0" collapsed="false">
      <c r="A49" s="57" t="str">
        <f aca="false">IF(ROW()-4&lt;=COUNT(Inventory_Data!$U$5:$U$104),ROW()-4,"")</f>
        <v/>
      </c>
      <c r="B49" s="58" t="str">
        <f aca="false">IF($A49="","",INDEX(Inventory_Data!$B$5:$B$104,MATCH($A49,Inventory_Data!$U$5:$U$104,0)))</f>
        <v/>
      </c>
      <c r="C49" s="58" t="str">
        <f aca="false">IF($A49="","",INDEX(Inventory_Data!$C$5:$C$104,MATCH($A49,Inventory_Data!$U$5:$U$104,0)))</f>
        <v/>
      </c>
      <c r="D49" s="58" t="str">
        <f aca="false">IF($A49="","",INDEX(Inventory_Data!$D$5:$D$104,MATCH($A49,Inventory_Data!$U$5:$U$104,0)))</f>
        <v/>
      </c>
      <c r="E49" s="58" t="str">
        <f aca="false">IF($A49="","",INDEX(Inventory_Data!$E$5:$E$104,MATCH($A49,Inventory_Data!$U$5:$U$104,0)))</f>
        <v/>
      </c>
      <c r="F49" s="58" t="str">
        <f aca="false">IF($A49="","",INDEX(Inventory_Data!$F$5:$F$104,MATCH($A49,Inventory_Data!$U$5:$U$104,0)))</f>
        <v/>
      </c>
      <c r="G49" s="58" t="str">
        <f aca="false">IF($A49="","",INDEX(Inventory_Data!$G$5:$G$104,MATCH($A49,Inventory_Data!$U$5:$U$104,0)))</f>
        <v/>
      </c>
      <c r="H49" s="59" t="str">
        <f aca="false">IF($A49="","",INDEX(Inventory_Data!$I$5:$I$104,MATCH($A49,Inventory_Data!$U$5:$U$104,0)))</f>
        <v/>
      </c>
      <c r="I49" s="58" t="str">
        <f aca="false">IF($A49="","",INDEX(Inventory_Data!$N$5:$N$104,MATCH($A49,Inventory_Data!$U$5:$U$104,0)))</f>
        <v/>
      </c>
      <c r="J49" s="60" t="str">
        <f aca="false">IF($A49="","",INDEX(Inventory_Data!$M$5:$M$104,MATCH($A49,Inventory_Data!$U$5:$U$104,0)))</f>
        <v/>
      </c>
      <c r="K49" s="58" t="str">
        <f aca="false">IF($A49="","",INDEX(Inventory_Data!$K$5:$K$104,MATCH($A49,Inventory_Data!$U$5:$U$104,0)))</f>
        <v/>
      </c>
      <c r="L49" s="61" t="str">
        <f aca="false">IF($A49="","",INDEX(Inventory_Data!$J$5:$J$104,MATCH($A49,Inventory_Data!$U$5:$U$104,0)))</f>
        <v/>
      </c>
      <c r="M49" s="58" t="str">
        <f aca="false">IF($A49="","",INDEX(Inventory_Data!$O$5:$O$104,MATCH($A49,Inventory_Data!$U$5:$U$104,0)))</f>
        <v/>
      </c>
      <c r="N49" s="62" t="str">
        <f aca="false">IF($A49="","",INDEX(Inventory_Data!$Q$5:$Q$104,MATCH($A49,Inventory_Data!$U$5:$U$104,0)))</f>
        <v/>
      </c>
      <c r="O49" s="63" t="str">
        <f aca="false">IF($A49="","",INDEX(Inventory_Data!$R$5:$R$104,MATCH($A49,Inventory_Data!$U$5:$U$104,0)))</f>
        <v/>
      </c>
      <c r="P49" s="61" t="str">
        <f aca="false">IF($A49="","",INDEX(Inventory_Data!$S$5:$S$104,MATCH($A49,Inventory_Data!$U$5:$U$104,0)))</f>
        <v/>
      </c>
    </row>
    <row r="50" customFormat="false" ht="15" hidden="false" customHeight="false" outlineLevel="0" collapsed="false">
      <c r="A50" s="57" t="str">
        <f aca="false">IF(ROW()-4&lt;=COUNT(Inventory_Data!$U$5:$U$104),ROW()-4,"")</f>
        <v/>
      </c>
      <c r="B50" s="58" t="str">
        <f aca="false">IF($A50="","",INDEX(Inventory_Data!$B$5:$B$104,MATCH($A50,Inventory_Data!$U$5:$U$104,0)))</f>
        <v/>
      </c>
      <c r="C50" s="58" t="str">
        <f aca="false">IF($A50="","",INDEX(Inventory_Data!$C$5:$C$104,MATCH($A50,Inventory_Data!$U$5:$U$104,0)))</f>
        <v/>
      </c>
      <c r="D50" s="58" t="str">
        <f aca="false">IF($A50="","",INDEX(Inventory_Data!$D$5:$D$104,MATCH($A50,Inventory_Data!$U$5:$U$104,0)))</f>
        <v/>
      </c>
      <c r="E50" s="58" t="str">
        <f aca="false">IF($A50="","",INDEX(Inventory_Data!$E$5:$E$104,MATCH($A50,Inventory_Data!$U$5:$U$104,0)))</f>
        <v/>
      </c>
      <c r="F50" s="58" t="str">
        <f aca="false">IF($A50="","",INDEX(Inventory_Data!$F$5:$F$104,MATCH($A50,Inventory_Data!$U$5:$U$104,0)))</f>
        <v/>
      </c>
      <c r="G50" s="58" t="str">
        <f aca="false">IF($A50="","",INDEX(Inventory_Data!$G$5:$G$104,MATCH($A50,Inventory_Data!$U$5:$U$104,0)))</f>
        <v/>
      </c>
      <c r="H50" s="59" t="str">
        <f aca="false">IF($A50="","",INDEX(Inventory_Data!$I$5:$I$104,MATCH($A50,Inventory_Data!$U$5:$U$104,0)))</f>
        <v/>
      </c>
      <c r="I50" s="58" t="str">
        <f aca="false">IF($A50="","",INDEX(Inventory_Data!$N$5:$N$104,MATCH($A50,Inventory_Data!$U$5:$U$104,0)))</f>
        <v/>
      </c>
      <c r="J50" s="60" t="str">
        <f aca="false">IF($A50="","",INDEX(Inventory_Data!$M$5:$M$104,MATCH($A50,Inventory_Data!$U$5:$U$104,0)))</f>
        <v/>
      </c>
      <c r="K50" s="58" t="str">
        <f aca="false">IF($A50="","",INDEX(Inventory_Data!$K$5:$K$104,MATCH($A50,Inventory_Data!$U$5:$U$104,0)))</f>
        <v/>
      </c>
      <c r="L50" s="61" t="str">
        <f aca="false">IF($A50="","",INDEX(Inventory_Data!$J$5:$J$104,MATCH($A50,Inventory_Data!$U$5:$U$104,0)))</f>
        <v/>
      </c>
      <c r="M50" s="58" t="str">
        <f aca="false">IF($A50="","",INDEX(Inventory_Data!$O$5:$O$104,MATCH($A50,Inventory_Data!$U$5:$U$104,0)))</f>
        <v/>
      </c>
      <c r="N50" s="62" t="str">
        <f aca="false">IF($A50="","",INDEX(Inventory_Data!$Q$5:$Q$104,MATCH($A50,Inventory_Data!$U$5:$U$104,0)))</f>
        <v/>
      </c>
      <c r="O50" s="63" t="str">
        <f aca="false">IF($A50="","",INDEX(Inventory_Data!$R$5:$R$104,MATCH($A50,Inventory_Data!$U$5:$U$104,0)))</f>
        <v/>
      </c>
      <c r="P50" s="61" t="str">
        <f aca="false">IF($A50="","",INDEX(Inventory_Data!$S$5:$S$104,MATCH($A50,Inventory_Data!$U$5:$U$104,0)))</f>
        <v/>
      </c>
    </row>
    <row r="51" customFormat="false" ht="15" hidden="false" customHeight="false" outlineLevel="0" collapsed="false">
      <c r="A51" s="57" t="str">
        <f aca="false">IF(ROW()-4&lt;=COUNT(Inventory_Data!$U$5:$U$104),ROW()-4,"")</f>
        <v/>
      </c>
      <c r="B51" s="58" t="str">
        <f aca="false">IF($A51="","",INDEX(Inventory_Data!$B$5:$B$104,MATCH($A51,Inventory_Data!$U$5:$U$104,0)))</f>
        <v/>
      </c>
      <c r="C51" s="58" t="str">
        <f aca="false">IF($A51="","",INDEX(Inventory_Data!$C$5:$C$104,MATCH($A51,Inventory_Data!$U$5:$U$104,0)))</f>
        <v/>
      </c>
      <c r="D51" s="58" t="str">
        <f aca="false">IF($A51="","",INDEX(Inventory_Data!$D$5:$D$104,MATCH($A51,Inventory_Data!$U$5:$U$104,0)))</f>
        <v/>
      </c>
      <c r="E51" s="58" t="str">
        <f aca="false">IF($A51="","",INDEX(Inventory_Data!$E$5:$E$104,MATCH($A51,Inventory_Data!$U$5:$U$104,0)))</f>
        <v/>
      </c>
      <c r="F51" s="58" t="str">
        <f aca="false">IF($A51="","",INDEX(Inventory_Data!$F$5:$F$104,MATCH($A51,Inventory_Data!$U$5:$U$104,0)))</f>
        <v/>
      </c>
      <c r="G51" s="58" t="str">
        <f aca="false">IF($A51="","",INDEX(Inventory_Data!$G$5:$G$104,MATCH($A51,Inventory_Data!$U$5:$U$104,0)))</f>
        <v/>
      </c>
      <c r="H51" s="59" t="str">
        <f aca="false">IF($A51="","",INDEX(Inventory_Data!$I$5:$I$104,MATCH($A51,Inventory_Data!$U$5:$U$104,0)))</f>
        <v/>
      </c>
      <c r="I51" s="58" t="str">
        <f aca="false">IF($A51="","",INDEX(Inventory_Data!$N$5:$N$104,MATCH($A51,Inventory_Data!$U$5:$U$104,0)))</f>
        <v/>
      </c>
      <c r="J51" s="60" t="str">
        <f aca="false">IF($A51="","",INDEX(Inventory_Data!$M$5:$M$104,MATCH($A51,Inventory_Data!$U$5:$U$104,0)))</f>
        <v/>
      </c>
      <c r="K51" s="58" t="str">
        <f aca="false">IF($A51="","",INDEX(Inventory_Data!$K$5:$K$104,MATCH($A51,Inventory_Data!$U$5:$U$104,0)))</f>
        <v/>
      </c>
      <c r="L51" s="61" t="str">
        <f aca="false">IF($A51="","",INDEX(Inventory_Data!$J$5:$J$104,MATCH($A51,Inventory_Data!$U$5:$U$104,0)))</f>
        <v/>
      </c>
      <c r="M51" s="58" t="str">
        <f aca="false">IF($A51="","",INDEX(Inventory_Data!$O$5:$O$104,MATCH($A51,Inventory_Data!$U$5:$U$104,0)))</f>
        <v/>
      </c>
      <c r="N51" s="62" t="str">
        <f aca="false">IF($A51="","",INDEX(Inventory_Data!$Q$5:$Q$104,MATCH($A51,Inventory_Data!$U$5:$U$104,0)))</f>
        <v/>
      </c>
      <c r="O51" s="63" t="str">
        <f aca="false">IF($A51="","",INDEX(Inventory_Data!$R$5:$R$104,MATCH($A51,Inventory_Data!$U$5:$U$104,0)))</f>
        <v/>
      </c>
      <c r="P51" s="61" t="str">
        <f aca="false">IF($A51="","",INDEX(Inventory_Data!$S$5:$S$104,MATCH($A51,Inventory_Data!$U$5:$U$104,0)))</f>
        <v/>
      </c>
    </row>
    <row r="52" customFormat="false" ht="15" hidden="false" customHeight="false" outlineLevel="0" collapsed="false">
      <c r="A52" s="57" t="str">
        <f aca="false">IF(ROW()-4&lt;=COUNT(Inventory_Data!$U$5:$U$104),ROW()-4,"")</f>
        <v/>
      </c>
      <c r="B52" s="58" t="str">
        <f aca="false">IF($A52="","",INDEX(Inventory_Data!$B$5:$B$104,MATCH($A52,Inventory_Data!$U$5:$U$104,0)))</f>
        <v/>
      </c>
      <c r="C52" s="58" t="str">
        <f aca="false">IF($A52="","",INDEX(Inventory_Data!$C$5:$C$104,MATCH($A52,Inventory_Data!$U$5:$U$104,0)))</f>
        <v/>
      </c>
      <c r="D52" s="58" t="str">
        <f aca="false">IF($A52="","",INDEX(Inventory_Data!$D$5:$D$104,MATCH($A52,Inventory_Data!$U$5:$U$104,0)))</f>
        <v/>
      </c>
      <c r="E52" s="58" t="str">
        <f aca="false">IF($A52="","",INDEX(Inventory_Data!$E$5:$E$104,MATCH($A52,Inventory_Data!$U$5:$U$104,0)))</f>
        <v/>
      </c>
      <c r="F52" s="58" t="str">
        <f aca="false">IF($A52="","",INDEX(Inventory_Data!$F$5:$F$104,MATCH($A52,Inventory_Data!$U$5:$U$104,0)))</f>
        <v/>
      </c>
      <c r="G52" s="58" t="str">
        <f aca="false">IF($A52="","",INDEX(Inventory_Data!$G$5:$G$104,MATCH($A52,Inventory_Data!$U$5:$U$104,0)))</f>
        <v/>
      </c>
      <c r="H52" s="59" t="str">
        <f aca="false">IF($A52="","",INDEX(Inventory_Data!$I$5:$I$104,MATCH($A52,Inventory_Data!$U$5:$U$104,0)))</f>
        <v/>
      </c>
      <c r="I52" s="58" t="str">
        <f aca="false">IF($A52="","",INDEX(Inventory_Data!$N$5:$N$104,MATCH($A52,Inventory_Data!$U$5:$U$104,0)))</f>
        <v/>
      </c>
      <c r="J52" s="60" t="str">
        <f aca="false">IF($A52="","",INDEX(Inventory_Data!$M$5:$M$104,MATCH($A52,Inventory_Data!$U$5:$U$104,0)))</f>
        <v/>
      </c>
      <c r="K52" s="58" t="str">
        <f aca="false">IF($A52="","",INDEX(Inventory_Data!$K$5:$K$104,MATCH($A52,Inventory_Data!$U$5:$U$104,0)))</f>
        <v/>
      </c>
      <c r="L52" s="61" t="str">
        <f aca="false">IF($A52="","",INDEX(Inventory_Data!$J$5:$J$104,MATCH($A52,Inventory_Data!$U$5:$U$104,0)))</f>
        <v/>
      </c>
      <c r="M52" s="58" t="str">
        <f aca="false">IF($A52="","",INDEX(Inventory_Data!$O$5:$O$104,MATCH($A52,Inventory_Data!$U$5:$U$104,0)))</f>
        <v/>
      </c>
      <c r="N52" s="62" t="str">
        <f aca="false">IF($A52="","",INDEX(Inventory_Data!$Q$5:$Q$104,MATCH($A52,Inventory_Data!$U$5:$U$104,0)))</f>
        <v/>
      </c>
      <c r="O52" s="63" t="str">
        <f aca="false">IF($A52="","",INDEX(Inventory_Data!$R$5:$R$104,MATCH($A52,Inventory_Data!$U$5:$U$104,0)))</f>
        <v/>
      </c>
      <c r="P52" s="61" t="str">
        <f aca="false">IF($A52="","",INDEX(Inventory_Data!$S$5:$S$104,MATCH($A52,Inventory_Data!$U$5:$U$104,0)))</f>
        <v/>
      </c>
    </row>
    <row r="53" customFormat="false" ht="15" hidden="false" customHeight="false" outlineLevel="0" collapsed="false">
      <c r="A53" s="57" t="str">
        <f aca="false">IF(ROW()-4&lt;=COUNT(Inventory_Data!$U$5:$U$104),ROW()-4,"")</f>
        <v/>
      </c>
      <c r="B53" s="58" t="str">
        <f aca="false">IF($A53="","",INDEX(Inventory_Data!$B$5:$B$104,MATCH($A53,Inventory_Data!$U$5:$U$104,0)))</f>
        <v/>
      </c>
      <c r="C53" s="58" t="str">
        <f aca="false">IF($A53="","",INDEX(Inventory_Data!$C$5:$C$104,MATCH($A53,Inventory_Data!$U$5:$U$104,0)))</f>
        <v/>
      </c>
      <c r="D53" s="58" t="str">
        <f aca="false">IF($A53="","",INDEX(Inventory_Data!$D$5:$D$104,MATCH($A53,Inventory_Data!$U$5:$U$104,0)))</f>
        <v/>
      </c>
      <c r="E53" s="58" t="str">
        <f aca="false">IF($A53="","",INDEX(Inventory_Data!$E$5:$E$104,MATCH($A53,Inventory_Data!$U$5:$U$104,0)))</f>
        <v/>
      </c>
      <c r="F53" s="58" t="str">
        <f aca="false">IF($A53="","",INDEX(Inventory_Data!$F$5:$F$104,MATCH($A53,Inventory_Data!$U$5:$U$104,0)))</f>
        <v/>
      </c>
      <c r="G53" s="58" t="str">
        <f aca="false">IF($A53="","",INDEX(Inventory_Data!$G$5:$G$104,MATCH($A53,Inventory_Data!$U$5:$U$104,0)))</f>
        <v/>
      </c>
      <c r="H53" s="59" t="str">
        <f aca="false">IF($A53="","",INDEX(Inventory_Data!$I$5:$I$104,MATCH($A53,Inventory_Data!$U$5:$U$104,0)))</f>
        <v/>
      </c>
      <c r="I53" s="58" t="str">
        <f aca="false">IF($A53="","",INDEX(Inventory_Data!$N$5:$N$104,MATCH($A53,Inventory_Data!$U$5:$U$104,0)))</f>
        <v/>
      </c>
      <c r="J53" s="60" t="str">
        <f aca="false">IF($A53="","",INDEX(Inventory_Data!$M$5:$M$104,MATCH($A53,Inventory_Data!$U$5:$U$104,0)))</f>
        <v/>
      </c>
      <c r="K53" s="58" t="str">
        <f aca="false">IF($A53="","",INDEX(Inventory_Data!$K$5:$K$104,MATCH($A53,Inventory_Data!$U$5:$U$104,0)))</f>
        <v/>
      </c>
      <c r="L53" s="61" t="str">
        <f aca="false">IF($A53="","",INDEX(Inventory_Data!$J$5:$J$104,MATCH($A53,Inventory_Data!$U$5:$U$104,0)))</f>
        <v/>
      </c>
      <c r="M53" s="58" t="str">
        <f aca="false">IF($A53="","",INDEX(Inventory_Data!$O$5:$O$104,MATCH($A53,Inventory_Data!$U$5:$U$104,0)))</f>
        <v/>
      </c>
      <c r="N53" s="62" t="str">
        <f aca="false">IF($A53="","",INDEX(Inventory_Data!$Q$5:$Q$104,MATCH($A53,Inventory_Data!$U$5:$U$104,0)))</f>
        <v/>
      </c>
      <c r="O53" s="63" t="str">
        <f aca="false">IF($A53="","",INDEX(Inventory_Data!$R$5:$R$104,MATCH($A53,Inventory_Data!$U$5:$U$104,0)))</f>
        <v/>
      </c>
      <c r="P53" s="61" t="str">
        <f aca="false">IF($A53="","",INDEX(Inventory_Data!$S$5:$S$104,MATCH($A53,Inventory_Data!$U$5:$U$104,0)))</f>
        <v/>
      </c>
    </row>
    <row r="54" customFormat="false" ht="15" hidden="false" customHeight="false" outlineLevel="0" collapsed="false">
      <c r="A54" s="57" t="str">
        <f aca="false">IF(ROW()-4&lt;=COUNT(Inventory_Data!$U$5:$U$104),ROW()-4,"")</f>
        <v/>
      </c>
      <c r="B54" s="58" t="str">
        <f aca="false">IF($A54="","",INDEX(Inventory_Data!$B$5:$B$104,MATCH($A54,Inventory_Data!$U$5:$U$104,0)))</f>
        <v/>
      </c>
      <c r="C54" s="58" t="str">
        <f aca="false">IF($A54="","",INDEX(Inventory_Data!$C$5:$C$104,MATCH($A54,Inventory_Data!$U$5:$U$104,0)))</f>
        <v/>
      </c>
      <c r="D54" s="58" t="str">
        <f aca="false">IF($A54="","",INDEX(Inventory_Data!$D$5:$D$104,MATCH($A54,Inventory_Data!$U$5:$U$104,0)))</f>
        <v/>
      </c>
      <c r="E54" s="58" t="str">
        <f aca="false">IF($A54="","",INDEX(Inventory_Data!$E$5:$E$104,MATCH($A54,Inventory_Data!$U$5:$U$104,0)))</f>
        <v/>
      </c>
      <c r="F54" s="58" t="str">
        <f aca="false">IF($A54="","",INDEX(Inventory_Data!$F$5:$F$104,MATCH($A54,Inventory_Data!$U$5:$U$104,0)))</f>
        <v/>
      </c>
      <c r="G54" s="58" t="str">
        <f aca="false">IF($A54="","",INDEX(Inventory_Data!$G$5:$G$104,MATCH($A54,Inventory_Data!$U$5:$U$104,0)))</f>
        <v/>
      </c>
      <c r="H54" s="59" t="str">
        <f aca="false">IF($A54="","",INDEX(Inventory_Data!$I$5:$I$104,MATCH($A54,Inventory_Data!$U$5:$U$104,0)))</f>
        <v/>
      </c>
      <c r="I54" s="58" t="str">
        <f aca="false">IF($A54="","",INDEX(Inventory_Data!$N$5:$N$104,MATCH($A54,Inventory_Data!$U$5:$U$104,0)))</f>
        <v/>
      </c>
      <c r="J54" s="60" t="str">
        <f aca="false">IF($A54="","",INDEX(Inventory_Data!$M$5:$M$104,MATCH($A54,Inventory_Data!$U$5:$U$104,0)))</f>
        <v/>
      </c>
      <c r="K54" s="58" t="str">
        <f aca="false">IF($A54="","",INDEX(Inventory_Data!$K$5:$K$104,MATCH($A54,Inventory_Data!$U$5:$U$104,0)))</f>
        <v/>
      </c>
      <c r="L54" s="61" t="str">
        <f aca="false">IF($A54="","",INDEX(Inventory_Data!$J$5:$J$104,MATCH($A54,Inventory_Data!$U$5:$U$104,0)))</f>
        <v/>
      </c>
      <c r="M54" s="58" t="str">
        <f aca="false">IF($A54="","",INDEX(Inventory_Data!$O$5:$O$104,MATCH($A54,Inventory_Data!$U$5:$U$104,0)))</f>
        <v/>
      </c>
      <c r="N54" s="62" t="str">
        <f aca="false">IF($A54="","",INDEX(Inventory_Data!$Q$5:$Q$104,MATCH($A54,Inventory_Data!$U$5:$U$104,0)))</f>
        <v/>
      </c>
      <c r="O54" s="63" t="str">
        <f aca="false">IF($A54="","",INDEX(Inventory_Data!$R$5:$R$104,MATCH($A54,Inventory_Data!$U$5:$U$104,0)))</f>
        <v/>
      </c>
      <c r="P54" s="61" t="str">
        <f aca="false">IF($A54="","",INDEX(Inventory_Data!$S$5:$S$104,MATCH($A54,Inventory_Data!$U$5:$U$104,0)))</f>
        <v/>
      </c>
    </row>
    <row r="55" customFormat="false" ht="15" hidden="false" customHeight="false" outlineLevel="0" collapsed="false">
      <c r="A55" s="57" t="str">
        <f aca="false">IF(ROW()-4&lt;=COUNT(Inventory_Data!$U$5:$U$104),ROW()-4,"")</f>
        <v/>
      </c>
      <c r="B55" s="58" t="str">
        <f aca="false">IF($A55="","",INDEX(Inventory_Data!$B$5:$B$104,MATCH($A55,Inventory_Data!$U$5:$U$104,0)))</f>
        <v/>
      </c>
      <c r="C55" s="58" t="str">
        <f aca="false">IF($A55="","",INDEX(Inventory_Data!$C$5:$C$104,MATCH($A55,Inventory_Data!$U$5:$U$104,0)))</f>
        <v/>
      </c>
      <c r="D55" s="58" t="str">
        <f aca="false">IF($A55="","",INDEX(Inventory_Data!$D$5:$D$104,MATCH($A55,Inventory_Data!$U$5:$U$104,0)))</f>
        <v/>
      </c>
      <c r="E55" s="58" t="str">
        <f aca="false">IF($A55="","",INDEX(Inventory_Data!$E$5:$E$104,MATCH($A55,Inventory_Data!$U$5:$U$104,0)))</f>
        <v/>
      </c>
      <c r="F55" s="58" t="str">
        <f aca="false">IF($A55="","",INDEX(Inventory_Data!$F$5:$F$104,MATCH($A55,Inventory_Data!$U$5:$U$104,0)))</f>
        <v/>
      </c>
      <c r="G55" s="58" t="str">
        <f aca="false">IF($A55="","",INDEX(Inventory_Data!$G$5:$G$104,MATCH($A55,Inventory_Data!$U$5:$U$104,0)))</f>
        <v/>
      </c>
      <c r="H55" s="59" t="str">
        <f aca="false">IF($A55="","",INDEX(Inventory_Data!$I$5:$I$104,MATCH($A55,Inventory_Data!$U$5:$U$104,0)))</f>
        <v/>
      </c>
      <c r="I55" s="58" t="str">
        <f aca="false">IF($A55="","",INDEX(Inventory_Data!$N$5:$N$104,MATCH($A55,Inventory_Data!$U$5:$U$104,0)))</f>
        <v/>
      </c>
      <c r="J55" s="60" t="str">
        <f aca="false">IF($A55="","",INDEX(Inventory_Data!$M$5:$M$104,MATCH($A55,Inventory_Data!$U$5:$U$104,0)))</f>
        <v/>
      </c>
      <c r="K55" s="58" t="str">
        <f aca="false">IF($A55="","",INDEX(Inventory_Data!$K$5:$K$104,MATCH($A55,Inventory_Data!$U$5:$U$104,0)))</f>
        <v/>
      </c>
      <c r="L55" s="61" t="str">
        <f aca="false">IF($A55="","",INDEX(Inventory_Data!$J$5:$J$104,MATCH($A55,Inventory_Data!$U$5:$U$104,0)))</f>
        <v/>
      </c>
      <c r="M55" s="58" t="str">
        <f aca="false">IF($A55="","",INDEX(Inventory_Data!$O$5:$O$104,MATCH($A55,Inventory_Data!$U$5:$U$104,0)))</f>
        <v/>
      </c>
      <c r="N55" s="62" t="str">
        <f aca="false">IF($A55="","",INDEX(Inventory_Data!$Q$5:$Q$104,MATCH($A55,Inventory_Data!$U$5:$U$104,0)))</f>
        <v/>
      </c>
      <c r="O55" s="63" t="str">
        <f aca="false">IF($A55="","",INDEX(Inventory_Data!$R$5:$R$104,MATCH($A55,Inventory_Data!$U$5:$U$104,0)))</f>
        <v/>
      </c>
      <c r="P55" s="61" t="str">
        <f aca="false">IF($A55="","",INDEX(Inventory_Data!$S$5:$S$104,MATCH($A55,Inventory_Data!$U$5:$U$104,0)))</f>
        <v/>
      </c>
    </row>
    <row r="56" customFormat="false" ht="15" hidden="false" customHeight="false" outlineLevel="0" collapsed="false">
      <c r="A56" s="57" t="str">
        <f aca="false">IF(ROW()-4&lt;=COUNT(Inventory_Data!$U$5:$U$104),ROW()-4,"")</f>
        <v/>
      </c>
      <c r="B56" s="58" t="str">
        <f aca="false">IF($A56="","",INDEX(Inventory_Data!$B$5:$B$104,MATCH($A56,Inventory_Data!$U$5:$U$104,0)))</f>
        <v/>
      </c>
      <c r="C56" s="58" t="str">
        <f aca="false">IF($A56="","",INDEX(Inventory_Data!$C$5:$C$104,MATCH($A56,Inventory_Data!$U$5:$U$104,0)))</f>
        <v/>
      </c>
      <c r="D56" s="58" t="str">
        <f aca="false">IF($A56="","",INDEX(Inventory_Data!$D$5:$D$104,MATCH($A56,Inventory_Data!$U$5:$U$104,0)))</f>
        <v/>
      </c>
      <c r="E56" s="58" t="str">
        <f aca="false">IF($A56="","",INDEX(Inventory_Data!$E$5:$E$104,MATCH($A56,Inventory_Data!$U$5:$U$104,0)))</f>
        <v/>
      </c>
      <c r="F56" s="58" t="str">
        <f aca="false">IF($A56="","",INDEX(Inventory_Data!$F$5:$F$104,MATCH($A56,Inventory_Data!$U$5:$U$104,0)))</f>
        <v/>
      </c>
      <c r="G56" s="58" t="str">
        <f aca="false">IF($A56="","",INDEX(Inventory_Data!$G$5:$G$104,MATCH($A56,Inventory_Data!$U$5:$U$104,0)))</f>
        <v/>
      </c>
      <c r="H56" s="59" t="str">
        <f aca="false">IF($A56="","",INDEX(Inventory_Data!$I$5:$I$104,MATCH($A56,Inventory_Data!$U$5:$U$104,0)))</f>
        <v/>
      </c>
      <c r="I56" s="58" t="str">
        <f aca="false">IF($A56="","",INDEX(Inventory_Data!$N$5:$N$104,MATCH($A56,Inventory_Data!$U$5:$U$104,0)))</f>
        <v/>
      </c>
      <c r="J56" s="60" t="str">
        <f aca="false">IF($A56="","",INDEX(Inventory_Data!$M$5:$M$104,MATCH($A56,Inventory_Data!$U$5:$U$104,0)))</f>
        <v/>
      </c>
      <c r="K56" s="58" t="str">
        <f aca="false">IF($A56="","",INDEX(Inventory_Data!$K$5:$K$104,MATCH($A56,Inventory_Data!$U$5:$U$104,0)))</f>
        <v/>
      </c>
      <c r="L56" s="61" t="str">
        <f aca="false">IF($A56="","",INDEX(Inventory_Data!$J$5:$J$104,MATCH($A56,Inventory_Data!$U$5:$U$104,0)))</f>
        <v/>
      </c>
      <c r="M56" s="58" t="str">
        <f aca="false">IF($A56="","",INDEX(Inventory_Data!$O$5:$O$104,MATCH($A56,Inventory_Data!$U$5:$U$104,0)))</f>
        <v/>
      </c>
      <c r="N56" s="62" t="str">
        <f aca="false">IF($A56="","",INDEX(Inventory_Data!$Q$5:$Q$104,MATCH($A56,Inventory_Data!$U$5:$U$104,0)))</f>
        <v/>
      </c>
      <c r="O56" s="63" t="str">
        <f aca="false">IF($A56="","",INDEX(Inventory_Data!$R$5:$R$104,MATCH($A56,Inventory_Data!$U$5:$U$104,0)))</f>
        <v/>
      </c>
      <c r="P56" s="61" t="str">
        <f aca="false">IF($A56="","",INDEX(Inventory_Data!$S$5:$S$104,MATCH($A56,Inventory_Data!$U$5:$U$104,0)))</f>
        <v/>
      </c>
    </row>
    <row r="57" customFormat="false" ht="15" hidden="false" customHeight="false" outlineLevel="0" collapsed="false">
      <c r="A57" s="57" t="str">
        <f aca="false">IF(ROW()-4&lt;=COUNT(Inventory_Data!$U$5:$U$104),ROW()-4,"")</f>
        <v/>
      </c>
      <c r="B57" s="58" t="str">
        <f aca="false">IF($A57="","",INDEX(Inventory_Data!$B$5:$B$104,MATCH($A57,Inventory_Data!$U$5:$U$104,0)))</f>
        <v/>
      </c>
      <c r="C57" s="58" t="str">
        <f aca="false">IF($A57="","",INDEX(Inventory_Data!$C$5:$C$104,MATCH($A57,Inventory_Data!$U$5:$U$104,0)))</f>
        <v/>
      </c>
      <c r="D57" s="58" t="str">
        <f aca="false">IF($A57="","",INDEX(Inventory_Data!$D$5:$D$104,MATCH($A57,Inventory_Data!$U$5:$U$104,0)))</f>
        <v/>
      </c>
      <c r="E57" s="58" t="str">
        <f aca="false">IF($A57="","",INDEX(Inventory_Data!$E$5:$E$104,MATCH($A57,Inventory_Data!$U$5:$U$104,0)))</f>
        <v/>
      </c>
      <c r="F57" s="58" t="str">
        <f aca="false">IF($A57="","",INDEX(Inventory_Data!$F$5:$F$104,MATCH($A57,Inventory_Data!$U$5:$U$104,0)))</f>
        <v/>
      </c>
      <c r="G57" s="58" t="str">
        <f aca="false">IF($A57="","",INDEX(Inventory_Data!$G$5:$G$104,MATCH($A57,Inventory_Data!$U$5:$U$104,0)))</f>
        <v/>
      </c>
      <c r="H57" s="59" t="str">
        <f aca="false">IF($A57="","",INDEX(Inventory_Data!$I$5:$I$104,MATCH($A57,Inventory_Data!$U$5:$U$104,0)))</f>
        <v/>
      </c>
      <c r="I57" s="58" t="str">
        <f aca="false">IF($A57="","",INDEX(Inventory_Data!$N$5:$N$104,MATCH($A57,Inventory_Data!$U$5:$U$104,0)))</f>
        <v/>
      </c>
      <c r="J57" s="60" t="str">
        <f aca="false">IF($A57="","",INDEX(Inventory_Data!$M$5:$M$104,MATCH($A57,Inventory_Data!$U$5:$U$104,0)))</f>
        <v/>
      </c>
      <c r="K57" s="58" t="str">
        <f aca="false">IF($A57="","",INDEX(Inventory_Data!$K$5:$K$104,MATCH($A57,Inventory_Data!$U$5:$U$104,0)))</f>
        <v/>
      </c>
      <c r="L57" s="61" t="str">
        <f aca="false">IF($A57="","",INDEX(Inventory_Data!$J$5:$J$104,MATCH($A57,Inventory_Data!$U$5:$U$104,0)))</f>
        <v/>
      </c>
      <c r="M57" s="58" t="str">
        <f aca="false">IF($A57="","",INDEX(Inventory_Data!$O$5:$O$104,MATCH($A57,Inventory_Data!$U$5:$U$104,0)))</f>
        <v/>
      </c>
      <c r="N57" s="62" t="str">
        <f aca="false">IF($A57="","",INDEX(Inventory_Data!$Q$5:$Q$104,MATCH($A57,Inventory_Data!$U$5:$U$104,0)))</f>
        <v/>
      </c>
      <c r="O57" s="63" t="str">
        <f aca="false">IF($A57="","",INDEX(Inventory_Data!$R$5:$R$104,MATCH($A57,Inventory_Data!$U$5:$U$104,0)))</f>
        <v/>
      </c>
      <c r="P57" s="61" t="str">
        <f aca="false">IF($A57="","",INDEX(Inventory_Data!$S$5:$S$104,MATCH($A57,Inventory_Data!$U$5:$U$104,0)))</f>
        <v/>
      </c>
    </row>
    <row r="58" customFormat="false" ht="15" hidden="false" customHeight="false" outlineLevel="0" collapsed="false">
      <c r="A58" s="57" t="str">
        <f aca="false">IF(ROW()-4&lt;=COUNT(Inventory_Data!$U$5:$U$104),ROW()-4,"")</f>
        <v/>
      </c>
      <c r="B58" s="58" t="str">
        <f aca="false">IF($A58="","",INDEX(Inventory_Data!$B$5:$B$104,MATCH($A58,Inventory_Data!$U$5:$U$104,0)))</f>
        <v/>
      </c>
      <c r="C58" s="58" t="str">
        <f aca="false">IF($A58="","",INDEX(Inventory_Data!$C$5:$C$104,MATCH($A58,Inventory_Data!$U$5:$U$104,0)))</f>
        <v/>
      </c>
      <c r="D58" s="58" t="str">
        <f aca="false">IF($A58="","",INDEX(Inventory_Data!$D$5:$D$104,MATCH($A58,Inventory_Data!$U$5:$U$104,0)))</f>
        <v/>
      </c>
      <c r="E58" s="58" t="str">
        <f aca="false">IF($A58="","",INDEX(Inventory_Data!$E$5:$E$104,MATCH($A58,Inventory_Data!$U$5:$U$104,0)))</f>
        <v/>
      </c>
      <c r="F58" s="58" t="str">
        <f aca="false">IF($A58="","",INDEX(Inventory_Data!$F$5:$F$104,MATCH($A58,Inventory_Data!$U$5:$U$104,0)))</f>
        <v/>
      </c>
      <c r="G58" s="58" t="str">
        <f aca="false">IF($A58="","",INDEX(Inventory_Data!$G$5:$G$104,MATCH($A58,Inventory_Data!$U$5:$U$104,0)))</f>
        <v/>
      </c>
      <c r="H58" s="59" t="str">
        <f aca="false">IF($A58="","",INDEX(Inventory_Data!$I$5:$I$104,MATCH($A58,Inventory_Data!$U$5:$U$104,0)))</f>
        <v/>
      </c>
      <c r="I58" s="58" t="str">
        <f aca="false">IF($A58="","",INDEX(Inventory_Data!$N$5:$N$104,MATCH($A58,Inventory_Data!$U$5:$U$104,0)))</f>
        <v/>
      </c>
      <c r="J58" s="60" t="str">
        <f aca="false">IF($A58="","",INDEX(Inventory_Data!$M$5:$M$104,MATCH($A58,Inventory_Data!$U$5:$U$104,0)))</f>
        <v/>
      </c>
      <c r="K58" s="58" t="str">
        <f aca="false">IF($A58="","",INDEX(Inventory_Data!$K$5:$K$104,MATCH($A58,Inventory_Data!$U$5:$U$104,0)))</f>
        <v/>
      </c>
      <c r="L58" s="61" t="str">
        <f aca="false">IF($A58="","",INDEX(Inventory_Data!$J$5:$J$104,MATCH($A58,Inventory_Data!$U$5:$U$104,0)))</f>
        <v/>
      </c>
      <c r="M58" s="58" t="str">
        <f aca="false">IF($A58="","",INDEX(Inventory_Data!$O$5:$O$104,MATCH($A58,Inventory_Data!$U$5:$U$104,0)))</f>
        <v/>
      </c>
      <c r="N58" s="62" t="str">
        <f aca="false">IF($A58="","",INDEX(Inventory_Data!$Q$5:$Q$104,MATCH($A58,Inventory_Data!$U$5:$U$104,0)))</f>
        <v/>
      </c>
      <c r="O58" s="63" t="str">
        <f aca="false">IF($A58="","",INDEX(Inventory_Data!$R$5:$R$104,MATCH($A58,Inventory_Data!$U$5:$U$104,0)))</f>
        <v/>
      </c>
      <c r="P58" s="61" t="str">
        <f aca="false">IF($A58="","",INDEX(Inventory_Data!$S$5:$S$104,MATCH($A58,Inventory_Data!$U$5:$U$104,0)))</f>
        <v/>
      </c>
    </row>
    <row r="59" customFormat="false" ht="15" hidden="false" customHeight="false" outlineLevel="0" collapsed="false">
      <c r="A59" s="57" t="str">
        <f aca="false">IF(ROW()-4&lt;=COUNT(Inventory_Data!$U$5:$U$104),ROW()-4,"")</f>
        <v/>
      </c>
      <c r="B59" s="58" t="str">
        <f aca="false">IF($A59="","",INDEX(Inventory_Data!$B$5:$B$104,MATCH($A59,Inventory_Data!$U$5:$U$104,0)))</f>
        <v/>
      </c>
      <c r="C59" s="58" t="str">
        <f aca="false">IF($A59="","",INDEX(Inventory_Data!$C$5:$C$104,MATCH($A59,Inventory_Data!$U$5:$U$104,0)))</f>
        <v/>
      </c>
      <c r="D59" s="58" t="str">
        <f aca="false">IF($A59="","",INDEX(Inventory_Data!$D$5:$D$104,MATCH($A59,Inventory_Data!$U$5:$U$104,0)))</f>
        <v/>
      </c>
      <c r="E59" s="58" t="str">
        <f aca="false">IF($A59="","",INDEX(Inventory_Data!$E$5:$E$104,MATCH($A59,Inventory_Data!$U$5:$U$104,0)))</f>
        <v/>
      </c>
      <c r="F59" s="58" t="str">
        <f aca="false">IF($A59="","",INDEX(Inventory_Data!$F$5:$F$104,MATCH($A59,Inventory_Data!$U$5:$U$104,0)))</f>
        <v/>
      </c>
      <c r="G59" s="58" t="str">
        <f aca="false">IF($A59="","",INDEX(Inventory_Data!$G$5:$G$104,MATCH($A59,Inventory_Data!$U$5:$U$104,0)))</f>
        <v/>
      </c>
      <c r="H59" s="59" t="str">
        <f aca="false">IF($A59="","",INDEX(Inventory_Data!$I$5:$I$104,MATCH($A59,Inventory_Data!$U$5:$U$104,0)))</f>
        <v/>
      </c>
      <c r="I59" s="58" t="str">
        <f aca="false">IF($A59="","",INDEX(Inventory_Data!$N$5:$N$104,MATCH($A59,Inventory_Data!$U$5:$U$104,0)))</f>
        <v/>
      </c>
      <c r="J59" s="60" t="str">
        <f aca="false">IF($A59="","",INDEX(Inventory_Data!$M$5:$M$104,MATCH($A59,Inventory_Data!$U$5:$U$104,0)))</f>
        <v/>
      </c>
      <c r="K59" s="58" t="str">
        <f aca="false">IF($A59="","",INDEX(Inventory_Data!$K$5:$K$104,MATCH($A59,Inventory_Data!$U$5:$U$104,0)))</f>
        <v/>
      </c>
      <c r="L59" s="61" t="str">
        <f aca="false">IF($A59="","",INDEX(Inventory_Data!$J$5:$J$104,MATCH($A59,Inventory_Data!$U$5:$U$104,0)))</f>
        <v/>
      </c>
      <c r="M59" s="58" t="str">
        <f aca="false">IF($A59="","",INDEX(Inventory_Data!$O$5:$O$104,MATCH($A59,Inventory_Data!$U$5:$U$104,0)))</f>
        <v/>
      </c>
      <c r="N59" s="62" t="str">
        <f aca="false">IF($A59="","",INDEX(Inventory_Data!$Q$5:$Q$104,MATCH($A59,Inventory_Data!$U$5:$U$104,0)))</f>
        <v/>
      </c>
      <c r="O59" s="63" t="str">
        <f aca="false">IF($A59="","",INDEX(Inventory_Data!$R$5:$R$104,MATCH($A59,Inventory_Data!$U$5:$U$104,0)))</f>
        <v/>
      </c>
      <c r="P59" s="61" t="str">
        <f aca="false">IF($A59="","",INDEX(Inventory_Data!$S$5:$S$104,MATCH($A59,Inventory_Data!$U$5:$U$104,0)))</f>
        <v/>
      </c>
    </row>
    <row r="60" customFormat="false" ht="15" hidden="false" customHeight="false" outlineLevel="0" collapsed="false">
      <c r="A60" s="57" t="str">
        <f aca="false">IF(ROW()-4&lt;=COUNT(Inventory_Data!$U$5:$U$104),ROW()-4,"")</f>
        <v/>
      </c>
      <c r="B60" s="58" t="str">
        <f aca="false">IF($A60="","",INDEX(Inventory_Data!$B$5:$B$104,MATCH($A60,Inventory_Data!$U$5:$U$104,0)))</f>
        <v/>
      </c>
      <c r="C60" s="58" t="str">
        <f aca="false">IF($A60="","",INDEX(Inventory_Data!$C$5:$C$104,MATCH($A60,Inventory_Data!$U$5:$U$104,0)))</f>
        <v/>
      </c>
      <c r="D60" s="58" t="str">
        <f aca="false">IF($A60="","",INDEX(Inventory_Data!$D$5:$D$104,MATCH($A60,Inventory_Data!$U$5:$U$104,0)))</f>
        <v/>
      </c>
      <c r="E60" s="58" t="str">
        <f aca="false">IF($A60="","",INDEX(Inventory_Data!$E$5:$E$104,MATCH($A60,Inventory_Data!$U$5:$U$104,0)))</f>
        <v/>
      </c>
      <c r="F60" s="58" t="str">
        <f aca="false">IF($A60="","",INDEX(Inventory_Data!$F$5:$F$104,MATCH($A60,Inventory_Data!$U$5:$U$104,0)))</f>
        <v/>
      </c>
      <c r="G60" s="58" t="str">
        <f aca="false">IF($A60="","",INDEX(Inventory_Data!$G$5:$G$104,MATCH($A60,Inventory_Data!$U$5:$U$104,0)))</f>
        <v/>
      </c>
      <c r="H60" s="59" t="str">
        <f aca="false">IF($A60="","",INDEX(Inventory_Data!$I$5:$I$104,MATCH($A60,Inventory_Data!$U$5:$U$104,0)))</f>
        <v/>
      </c>
      <c r="I60" s="58" t="str">
        <f aca="false">IF($A60="","",INDEX(Inventory_Data!$N$5:$N$104,MATCH($A60,Inventory_Data!$U$5:$U$104,0)))</f>
        <v/>
      </c>
      <c r="J60" s="60" t="str">
        <f aca="false">IF($A60="","",INDEX(Inventory_Data!$M$5:$M$104,MATCH($A60,Inventory_Data!$U$5:$U$104,0)))</f>
        <v/>
      </c>
      <c r="K60" s="58" t="str">
        <f aca="false">IF($A60="","",INDEX(Inventory_Data!$K$5:$K$104,MATCH($A60,Inventory_Data!$U$5:$U$104,0)))</f>
        <v/>
      </c>
      <c r="L60" s="61" t="str">
        <f aca="false">IF($A60="","",INDEX(Inventory_Data!$J$5:$J$104,MATCH($A60,Inventory_Data!$U$5:$U$104,0)))</f>
        <v/>
      </c>
      <c r="M60" s="58" t="str">
        <f aca="false">IF($A60="","",INDEX(Inventory_Data!$O$5:$O$104,MATCH($A60,Inventory_Data!$U$5:$U$104,0)))</f>
        <v/>
      </c>
      <c r="N60" s="62" t="str">
        <f aca="false">IF($A60="","",INDEX(Inventory_Data!$Q$5:$Q$104,MATCH($A60,Inventory_Data!$U$5:$U$104,0)))</f>
        <v/>
      </c>
      <c r="O60" s="63" t="str">
        <f aca="false">IF($A60="","",INDEX(Inventory_Data!$R$5:$R$104,MATCH($A60,Inventory_Data!$U$5:$U$104,0)))</f>
        <v/>
      </c>
      <c r="P60" s="61" t="str">
        <f aca="false">IF($A60="","",INDEX(Inventory_Data!$S$5:$S$104,MATCH($A60,Inventory_Data!$U$5:$U$104,0)))</f>
        <v/>
      </c>
    </row>
    <row r="61" customFormat="false" ht="15" hidden="false" customHeight="false" outlineLevel="0" collapsed="false">
      <c r="A61" s="57" t="str">
        <f aca="false">IF(ROW()-4&lt;=COUNT(Inventory_Data!$U$5:$U$104),ROW()-4,"")</f>
        <v/>
      </c>
      <c r="B61" s="58" t="str">
        <f aca="false">IF($A61="","",INDEX(Inventory_Data!$B$5:$B$104,MATCH($A61,Inventory_Data!$U$5:$U$104,0)))</f>
        <v/>
      </c>
      <c r="C61" s="58" t="str">
        <f aca="false">IF($A61="","",INDEX(Inventory_Data!$C$5:$C$104,MATCH($A61,Inventory_Data!$U$5:$U$104,0)))</f>
        <v/>
      </c>
      <c r="D61" s="58" t="str">
        <f aca="false">IF($A61="","",INDEX(Inventory_Data!$D$5:$D$104,MATCH($A61,Inventory_Data!$U$5:$U$104,0)))</f>
        <v/>
      </c>
      <c r="E61" s="58" t="str">
        <f aca="false">IF($A61="","",INDEX(Inventory_Data!$E$5:$E$104,MATCH($A61,Inventory_Data!$U$5:$U$104,0)))</f>
        <v/>
      </c>
      <c r="F61" s="58" t="str">
        <f aca="false">IF($A61="","",INDEX(Inventory_Data!$F$5:$F$104,MATCH($A61,Inventory_Data!$U$5:$U$104,0)))</f>
        <v/>
      </c>
      <c r="G61" s="58" t="str">
        <f aca="false">IF($A61="","",INDEX(Inventory_Data!$G$5:$G$104,MATCH($A61,Inventory_Data!$U$5:$U$104,0)))</f>
        <v/>
      </c>
      <c r="H61" s="59" t="str">
        <f aca="false">IF($A61="","",INDEX(Inventory_Data!$I$5:$I$104,MATCH($A61,Inventory_Data!$U$5:$U$104,0)))</f>
        <v/>
      </c>
      <c r="I61" s="58" t="str">
        <f aca="false">IF($A61="","",INDEX(Inventory_Data!$N$5:$N$104,MATCH($A61,Inventory_Data!$U$5:$U$104,0)))</f>
        <v/>
      </c>
      <c r="J61" s="60" t="str">
        <f aca="false">IF($A61="","",INDEX(Inventory_Data!$M$5:$M$104,MATCH($A61,Inventory_Data!$U$5:$U$104,0)))</f>
        <v/>
      </c>
      <c r="K61" s="58" t="str">
        <f aca="false">IF($A61="","",INDEX(Inventory_Data!$K$5:$K$104,MATCH($A61,Inventory_Data!$U$5:$U$104,0)))</f>
        <v/>
      </c>
      <c r="L61" s="61" t="str">
        <f aca="false">IF($A61="","",INDEX(Inventory_Data!$J$5:$J$104,MATCH($A61,Inventory_Data!$U$5:$U$104,0)))</f>
        <v/>
      </c>
      <c r="M61" s="58" t="str">
        <f aca="false">IF($A61="","",INDEX(Inventory_Data!$O$5:$O$104,MATCH($A61,Inventory_Data!$U$5:$U$104,0)))</f>
        <v/>
      </c>
      <c r="N61" s="62" t="str">
        <f aca="false">IF($A61="","",INDEX(Inventory_Data!$Q$5:$Q$104,MATCH($A61,Inventory_Data!$U$5:$U$104,0)))</f>
        <v/>
      </c>
      <c r="O61" s="63" t="str">
        <f aca="false">IF($A61="","",INDEX(Inventory_Data!$R$5:$R$104,MATCH($A61,Inventory_Data!$U$5:$U$104,0)))</f>
        <v/>
      </c>
      <c r="P61" s="61" t="str">
        <f aca="false">IF($A61="","",INDEX(Inventory_Data!$S$5:$S$104,MATCH($A61,Inventory_Data!$U$5:$U$104,0)))</f>
        <v/>
      </c>
    </row>
    <row r="62" customFormat="false" ht="15" hidden="false" customHeight="false" outlineLevel="0" collapsed="false">
      <c r="A62" s="57" t="str">
        <f aca="false">IF(ROW()-4&lt;=COUNT(Inventory_Data!$U$5:$U$104),ROW()-4,"")</f>
        <v/>
      </c>
      <c r="B62" s="58" t="str">
        <f aca="false">IF($A62="","",INDEX(Inventory_Data!$B$5:$B$104,MATCH($A62,Inventory_Data!$U$5:$U$104,0)))</f>
        <v/>
      </c>
      <c r="C62" s="58" t="str">
        <f aca="false">IF($A62="","",INDEX(Inventory_Data!$C$5:$C$104,MATCH($A62,Inventory_Data!$U$5:$U$104,0)))</f>
        <v/>
      </c>
      <c r="D62" s="58" t="str">
        <f aca="false">IF($A62="","",INDEX(Inventory_Data!$D$5:$D$104,MATCH($A62,Inventory_Data!$U$5:$U$104,0)))</f>
        <v/>
      </c>
      <c r="E62" s="58" t="str">
        <f aca="false">IF($A62="","",INDEX(Inventory_Data!$E$5:$E$104,MATCH($A62,Inventory_Data!$U$5:$U$104,0)))</f>
        <v/>
      </c>
      <c r="F62" s="58" t="str">
        <f aca="false">IF($A62="","",INDEX(Inventory_Data!$F$5:$F$104,MATCH($A62,Inventory_Data!$U$5:$U$104,0)))</f>
        <v/>
      </c>
      <c r="G62" s="58" t="str">
        <f aca="false">IF($A62="","",INDEX(Inventory_Data!$G$5:$G$104,MATCH($A62,Inventory_Data!$U$5:$U$104,0)))</f>
        <v/>
      </c>
      <c r="H62" s="59" t="str">
        <f aca="false">IF($A62="","",INDEX(Inventory_Data!$I$5:$I$104,MATCH($A62,Inventory_Data!$U$5:$U$104,0)))</f>
        <v/>
      </c>
      <c r="I62" s="58" t="str">
        <f aca="false">IF($A62="","",INDEX(Inventory_Data!$N$5:$N$104,MATCH($A62,Inventory_Data!$U$5:$U$104,0)))</f>
        <v/>
      </c>
      <c r="J62" s="60" t="str">
        <f aca="false">IF($A62="","",INDEX(Inventory_Data!$M$5:$M$104,MATCH($A62,Inventory_Data!$U$5:$U$104,0)))</f>
        <v/>
      </c>
      <c r="K62" s="58" t="str">
        <f aca="false">IF($A62="","",INDEX(Inventory_Data!$K$5:$K$104,MATCH($A62,Inventory_Data!$U$5:$U$104,0)))</f>
        <v/>
      </c>
      <c r="L62" s="61" t="str">
        <f aca="false">IF($A62="","",INDEX(Inventory_Data!$J$5:$J$104,MATCH($A62,Inventory_Data!$U$5:$U$104,0)))</f>
        <v/>
      </c>
      <c r="M62" s="58" t="str">
        <f aca="false">IF($A62="","",INDEX(Inventory_Data!$O$5:$O$104,MATCH($A62,Inventory_Data!$U$5:$U$104,0)))</f>
        <v/>
      </c>
      <c r="N62" s="62" t="str">
        <f aca="false">IF($A62="","",INDEX(Inventory_Data!$Q$5:$Q$104,MATCH($A62,Inventory_Data!$U$5:$U$104,0)))</f>
        <v/>
      </c>
      <c r="O62" s="63" t="str">
        <f aca="false">IF($A62="","",INDEX(Inventory_Data!$R$5:$R$104,MATCH($A62,Inventory_Data!$U$5:$U$104,0)))</f>
        <v/>
      </c>
      <c r="P62" s="61" t="str">
        <f aca="false">IF($A62="","",INDEX(Inventory_Data!$S$5:$S$104,MATCH($A62,Inventory_Data!$U$5:$U$104,0)))</f>
        <v/>
      </c>
    </row>
    <row r="63" customFormat="false" ht="15" hidden="false" customHeight="false" outlineLevel="0" collapsed="false">
      <c r="A63" s="57" t="str">
        <f aca="false">IF(ROW()-4&lt;=COUNT(Inventory_Data!$U$5:$U$104),ROW()-4,"")</f>
        <v/>
      </c>
      <c r="B63" s="58" t="str">
        <f aca="false">IF($A63="","",INDEX(Inventory_Data!$B$5:$B$104,MATCH($A63,Inventory_Data!$U$5:$U$104,0)))</f>
        <v/>
      </c>
      <c r="C63" s="58" t="str">
        <f aca="false">IF($A63="","",INDEX(Inventory_Data!$C$5:$C$104,MATCH($A63,Inventory_Data!$U$5:$U$104,0)))</f>
        <v/>
      </c>
      <c r="D63" s="58" t="str">
        <f aca="false">IF($A63="","",INDEX(Inventory_Data!$D$5:$D$104,MATCH($A63,Inventory_Data!$U$5:$U$104,0)))</f>
        <v/>
      </c>
      <c r="E63" s="58" t="str">
        <f aca="false">IF($A63="","",INDEX(Inventory_Data!$E$5:$E$104,MATCH($A63,Inventory_Data!$U$5:$U$104,0)))</f>
        <v/>
      </c>
      <c r="F63" s="58" t="str">
        <f aca="false">IF($A63="","",INDEX(Inventory_Data!$F$5:$F$104,MATCH($A63,Inventory_Data!$U$5:$U$104,0)))</f>
        <v/>
      </c>
      <c r="G63" s="58" t="str">
        <f aca="false">IF($A63="","",INDEX(Inventory_Data!$G$5:$G$104,MATCH($A63,Inventory_Data!$U$5:$U$104,0)))</f>
        <v/>
      </c>
      <c r="H63" s="59" t="str">
        <f aca="false">IF($A63="","",INDEX(Inventory_Data!$I$5:$I$104,MATCH($A63,Inventory_Data!$U$5:$U$104,0)))</f>
        <v/>
      </c>
      <c r="I63" s="58" t="str">
        <f aca="false">IF($A63="","",INDEX(Inventory_Data!$N$5:$N$104,MATCH($A63,Inventory_Data!$U$5:$U$104,0)))</f>
        <v/>
      </c>
      <c r="J63" s="60" t="str">
        <f aca="false">IF($A63="","",INDEX(Inventory_Data!$M$5:$M$104,MATCH($A63,Inventory_Data!$U$5:$U$104,0)))</f>
        <v/>
      </c>
      <c r="K63" s="58" t="str">
        <f aca="false">IF($A63="","",INDEX(Inventory_Data!$K$5:$K$104,MATCH($A63,Inventory_Data!$U$5:$U$104,0)))</f>
        <v/>
      </c>
      <c r="L63" s="61" t="str">
        <f aca="false">IF($A63="","",INDEX(Inventory_Data!$J$5:$J$104,MATCH($A63,Inventory_Data!$U$5:$U$104,0)))</f>
        <v/>
      </c>
      <c r="M63" s="58" t="str">
        <f aca="false">IF($A63="","",INDEX(Inventory_Data!$O$5:$O$104,MATCH($A63,Inventory_Data!$U$5:$U$104,0)))</f>
        <v/>
      </c>
      <c r="N63" s="62" t="str">
        <f aca="false">IF($A63="","",INDEX(Inventory_Data!$Q$5:$Q$104,MATCH($A63,Inventory_Data!$U$5:$U$104,0)))</f>
        <v/>
      </c>
      <c r="O63" s="63" t="str">
        <f aca="false">IF($A63="","",INDEX(Inventory_Data!$R$5:$R$104,MATCH($A63,Inventory_Data!$U$5:$U$104,0)))</f>
        <v/>
      </c>
      <c r="P63" s="61" t="str">
        <f aca="false">IF($A63="","",INDEX(Inventory_Data!$S$5:$S$104,MATCH($A63,Inventory_Data!$U$5:$U$104,0)))</f>
        <v/>
      </c>
    </row>
    <row r="64" customFormat="false" ht="15" hidden="false" customHeight="false" outlineLevel="0" collapsed="false">
      <c r="A64" s="57" t="str">
        <f aca="false">IF(ROW()-4&lt;=COUNT(Inventory_Data!$U$5:$U$104),ROW()-4,"")</f>
        <v/>
      </c>
      <c r="B64" s="58" t="str">
        <f aca="false">IF($A64="","",INDEX(Inventory_Data!$B$5:$B$104,MATCH($A64,Inventory_Data!$U$5:$U$104,0)))</f>
        <v/>
      </c>
      <c r="C64" s="58" t="str">
        <f aca="false">IF($A64="","",INDEX(Inventory_Data!$C$5:$C$104,MATCH($A64,Inventory_Data!$U$5:$U$104,0)))</f>
        <v/>
      </c>
      <c r="D64" s="58" t="str">
        <f aca="false">IF($A64="","",INDEX(Inventory_Data!$D$5:$D$104,MATCH($A64,Inventory_Data!$U$5:$U$104,0)))</f>
        <v/>
      </c>
      <c r="E64" s="58" t="str">
        <f aca="false">IF($A64="","",INDEX(Inventory_Data!$E$5:$E$104,MATCH($A64,Inventory_Data!$U$5:$U$104,0)))</f>
        <v/>
      </c>
      <c r="F64" s="58" t="str">
        <f aca="false">IF($A64="","",INDEX(Inventory_Data!$F$5:$F$104,MATCH($A64,Inventory_Data!$U$5:$U$104,0)))</f>
        <v/>
      </c>
      <c r="G64" s="58" t="str">
        <f aca="false">IF($A64="","",INDEX(Inventory_Data!$G$5:$G$104,MATCH($A64,Inventory_Data!$U$5:$U$104,0)))</f>
        <v/>
      </c>
      <c r="H64" s="59" t="str">
        <f aca="false">IF($A64="","",INDEX(Inventory_Data!$I$5:$I$104,MATCH($A64,Inventory_Data!$U$5:$U$104,0)))</f>
        <v/>
      </c>
      <c r="I64" s="58" t="str">
        <f aca="false">IF($A64="","",INDEX(Inventory_Data!$N$5:$N$104,MATCH($A64,Inventory_Data!$U$5:$U$104,0)))</f>
        <v/>
      </c>
      <c r="J64" s="60" t="str">
        <f aca="false">IF($A64="","",INDEX(Inventory_Data!$M$5:$M$104,MATCH($A64,Inventory_Data!$U$5:$U$104,0)))</f>
        <v/>
      </c>
      <c r="K64" s="58" t="str">
        <f aca="false">IF($A64="","",INDEX(Inventory_Data!$K$5:$K$104,MATCH($A64,Inventory_Data!$U$5:$U$104,0)))</f>
        <v/>
      </c>
      <c r="L64" s="61" t="str">
        <f aca="false">IF($A64="","",INDEX(Inventory_Data!$J$5:$J$104,MATCH($A64,Inventory_Data!$U$5:$U$104,0)))</f>
        <v/>
      </c>
      <c r="M64" s="58" t="str">
        <f aca="false">IF($A64="","",INDEX(Inventory_Data!$O$5:$O$104,MATCH($A64,Inventory_Data!$U$5:$U$104,0)))</f>
        <v/>
      </c>
      <c r="N64" s="62" t="str">
        <f aca="false">IF($A64="","",INDEX(Inventory_Data!$Q$5:$Q$104,MATCH($A64,Inventory_Data!$U$5:$U$104,0)))</f>
        <v/>
      </c>
      <c r="O64" s="63" t="str">
        <f aca="false">IF($A64="","",INDEX(Inventory_Data!$R$5:$R$104,MATCH($A64,Inventory_Data!$U$5:$U$104,0)))</f>
        <v/>
      </c>
      <c r="P64" s="61" t="str">
        <f aca="false">IF($A64="","",INDEX(Inventory_Data!$S$5:$S$104,MATCH($A64,Inventory_Data!$U$5:$U$104,0)))</f>
        <v/>
      </c>
    </row>
    <row r="65" customFormat="false" ht="15" hidden="false" customHeight="false" outlineLevel="0" collapsed="false">
      <c r="A65" s="57" t="str">
        <f aca="false">IF(ROW()-4&lt;=COUNT(Inventory_Data!$U$5:$U$104),ROW()-4,"")</f>
        <v/>
      </c>
      <c r="B65" s="58" t="str">
        <f aca="false">IF($A65="","",INDEX(Inventory_Data!$B$5:$B$104,MATCH($A65,Inventory_Data!$U$5:$U$104,0)))</f>
        <v/>
      </c>
      <c r="C65" s="58" t="str">
        <f aca="false">IF($A65="","",INDEX(Inventory_Data!$C$5:$C$104,MATCH($A65,Inventory_Data!$U$5:$U$104,0)))</f>
        <v/>
      </c>
      <c r="D65" s="58" t="str">
        <f aca="false">IF($A65="","",INDEX(Inventory_Data!$D$5:$D$104,MATCH($A65,Inventory_Data!$U$5:$U$104,0)))</f>
        <v/>
      </c>
      <c r="E65" s="58" t="str">
        <f aca="false">IF($A65="","",INDEX(Inventory_Data!$E$5:$E$104,MATCH($A65,Inventory_Data!$U$5:$U$104,0)))</f>
        <v/>
      </c>
      <c r="F65" s="58" t="str">
        <f aca="false">IF($A65="","",INDEX(Inventory_Data!$F$5:$F$104,MATCH($A65,Inventory_Data!$U$5:$U$104,0)))</f>
        <v/>
      </c>
      <c r="G65" s="58" t="str">
        <f aca="false">IF($A65="","",INDEX(Inventory_Data!$G$5:$G$104,MATCH($A65,Inventory_Data!$U$5:$U$104,0)))</f>
        <v/>
      </c>
      <c r="H65" s="59" t="str">
        <f aca="false">IF($A65="","",INDEX(Inventory_Data!$I$5:$I$104,MATCH($A65,Inventory_Data!$U$5:$U$104,0)))</f>
        <v/>
      </c>
      <c r="I65" s="58" t="str">
        <f aca="false">IF($A65="","",INDEX(Inventory_Data!$N$5:$N$104,MATCH($A65,Inventory_Data!$U$5:$U$104,0)))</f>
        <v/>
      </c>
      <c r="J65" s="60" t="str">
        <f aca="false">IF($A65="","",INDEX(Inventory_Data!$M$5:$M$104,MATCH($A65,Inventory_Data!$U$5:$U$104,0)))</f>
        <v/>
      </c>
      <c r="K65" s="58" t="str">
        <f aca="false">IF($A65="","",INDEX(Inventory_Data!$K$5:$K$104,MATCH($A65,Inventory_Data!$U$5:$U$104,0)))</f>
        <v/>
      </c>
      <c r="L65" s="61" t="str">
        <f aca="false">IF($A65="","",INDEX(Inventory_Data!$J$5:$J$104,MATCH($A65,Inventory_Data!$U$5:$U$104,0)))</f>
        <v/>
      </c>
      <c r="M65" s="58" t="str">
        <f aca="false">IF($A65="","",INDEX(Inventory_Data!$O$5:$O$104,MATCH($A65,Inventory_Data!$U$5:$U$104,0)))</f>
        <v/>
      </c>
      <c r="N65" s="62" t="str">
        <f aca="false">IF($A65="","",INDEX(Inventory_Data!$Q$5:$Q$104,MATCH($A65,Inventory_Data!$U$5:$U$104,0)))</f>
        <v/>
      </c>
      <c r="O65" s="63" t="str">
        <f aca="false">IF($A65="","",INDEX(Inventory_Data!$R$5:$R$104,MATCH($A65,Inventory_Data!$U$5:$U$104,0)))</f>
        <v/>
      </c>
      <c r="P65" s="61" t="str">
        <f aca="false">IF($A65="","",INDEX(Inventory_Data!$S$5:$S$104,MATCH($A65,Inventory_Data!$U$5:$U$104,0)))</f>
        <v/>
      </c>
    </row>
    <row r="66" customFormat="false" ht="15" hidden="false" customHeight="false" outlineLevel="0" collapsed="false">
      <c r="A66" s="57" t="str">
        <f aca="false">IF(ROW()-4&lt;=COUNT(Inventory_Data!$U$5:$U$104),ROW()-4,"")</f>
        <v/>
      </c>
      <c r="B66" s="58" t="str">
        <f aca="false">IF($A66="","",INDEX(Inventory_Data!$B$5:$B$104,MATCH($A66,Inventory_Data!$U$5:$U$104,0)))</f>
        <v/>
      </c>
      <c r="C66" s="58" t="str">
        <f aca="false">IF($A66="","",INDEX(Inventory_Data!$C$5:$C$104,MATCH($A66,Inventory_Data!$U$5:$U$104,0)))</f>
        <v/>
      </c>
      <c r="D66" s="58" t="str">
        <f aca="false">IF($A66="","",INDEX(Inventory_Data!$D$5:$D$104,MATCH($A66,Inventory_Data!$U$5:$U$104,0)))</f>
        <v/>
      </c>
      <c r="E66" s="58" t="str">
        <f aca="false">IF($A66="","",INDEX(Inventory_Data!$E$5:$E$104,MATCH($A66,Inventory_Data!$U$5:$U$104,0)))</f>
        <v/>
      </c>
      <c r="F66" s="58" t="str">
        <f aca="false">IF($A66="","",INDEX(Inventory_Data!$F$5:$F$104,MATCH($A66,Inventory_Data!$U$5:$U$104,0)))</f>
        <v/>
      </c>
      <c r="G66" s="58" t="str">
        <f aca="false">IF($A66="","",INDEX(Inventory_Data!$G$5:$G$104,MATCH($A66,Inventory_Data!$U$5:$U$104,0)))</f>
        <v/>
      </c>
      <c r="H66" s="59" t="str">
        <f aca="false">IF($A66="","",INDEX(Inventory_Data!$I$5:$I$104,MATCH($A66,Inventory_Data!$U$5:$U$104,0)))</f>
        <v/>
      </c>
      <c r="I66" s="58" t="str">
        <f aca="false">IF($A66="","",INDEX(Inventory_Data!$N$5:$N$104,MATCH($A66,Inventory_Data!$U$5:$U$104,0)))</f>
        <v/>
      </c>
      <c r="J66" s="60" t="str">
        <f aca="false">IF($A66="","",INDEX(Inventory_Data!$M$5:$M$104,MATCH($A66,Inventory_Data!$U$5:$U$104,0)))</f>
        <v/>
      </c>
      <c r="K66" s="58" t="str">
        <f aca="false">IF($A66="","",INDEX(Inventory_Data!$K$5:$K$104,MATCH($A66,Inventory_Data!$U$5:$U$104,0)))</f>
        <v/>
      </c>
      <c r="L66" s="61" t="str">
        <f aca="false">IF($A66="","",INDEX(Inventory_Data!$J$5:$J$104,MATCH($A66,Inventory_Data!$U$5:$U$104,0)))</f>
        <v/>
      </c>
      <c r="M66" s="58" t="str">
        <f aca="false">IF($A66="","",INDEX(Inventory_Data!$O$5:$O$104,MATCH($A66,Inventory_Data!$U$5:$U$104,0)))</f>
        <v/>
      </c>
      <c r="N66" s="62" t="str">
        <f aca="false">IF($A66="","",INDEX(Inventory_Data!$Q$5:$Q$104,MATCH($A66,Inventory_Data!$U$5:$U$104,0)))</f>
        <v/>
      </c>
      <c r="O66" s="63" t="str">
        <f aca="false">IF($A66="","",INDEX(Inventory_Data!$R$5:$R$104,MATCH($A66,Inventory_Data!$U$5:$U$104,0)))</f>
        <v/>
      </c>
      <c r="P66" s="61" t="str">
        <f aca="false">IF($A66="","",INDEX(Inventory_Data!$S$5:$S$104,MATCH($A66,Inventory_Data!$U$5:$U$104,0)))</f>
        <v/>
      </c>
    </row>
    <row r="67" customFormat="false" ht="15" hidden="false" customHeight="false" outlineLevel="0" collapsed="false">
      <c r="A67" s="57" t="str">
        <f aca="false">IF(ROW()-4&lt;=COUNT(Inventory_Data!$U$5:$U$104),ROW()-4,"")</f>
        <v/>
      </c>
      <c r="B67" s="58" t="str">
        <f aca="false">IF($A67="","",INDEX(Inventory_Data!$B$5:$B$104,MATCH($A67,Inventory_Data!$U$5:$U$104,0)))</f>
        <v/>
      </c>
      <c r="C67" s="58" t="str">
        <f aca="false">IF($A67="","",INDEX(Inventory_Data!$C$5:$C$104,MATCH($A67,Inventory_Data!$U$5:$U$104,0)))</f>
        <v/>
      </c>
      <c r="D67" s="58" t="str">
        <f aca="false">IF($A67="","",INDEX(Inventory_Data!$D$5:$D$104,MATCH($A67,Inventory_Data!$U$5:$U$104,0)))</f>
        <v/>
      </c>
      <c r="E67" s="58" t="str">
        <f aca="false">IF($A67="","",INDEX(Inventory_Data!$E$5:$E$104,MATCH($A67,Inventory_Data!$U$5:$U$104,0)))</f>
        <v/>
      </c>
      <c r="F67" s="58" t="str">
        <f aca="false">IF($A67="","",INDEX(Inventory_Data!$F$5:$F$104,MATCH($A67,Inventory_Data!$U$5:$U$104,0)))</f>
        <v/>
      </c>
      <c r="G67" s="58" t="str">
        <f aca="false">IF($A67="","",INDEX(Inventory_Data!$G$5:$G$104,MATCH($A67,Inventory_Data!$U$5:$U$104,0)))</f>
        <v/>
      </c>
      <c r="H67" s="59" t="str">
        <f aca="false">IF($A67="","",INDEX(Inventory_Data!$I$5:$I$104,MATCH($A67,Inventory_Data!$U$5:$U$104,0)))</f>
        <v/>
      </c>
      <c r="I67" s="58" t="str">
        <f aca="false">IF($A67="","",INDEX(Inventory_Data!$N$5:$N$104,MATCH($A67,Inventory_Data!$U$5:$U$104,0)))</f>
        <v/>
      </c>
      <c r="J67" s="60" t="str">
        <f aca="false">IF($A67="","",INDEX(Inventory_Data!$M$5:$M$104,MATCH($A67,Inventory_Data!$U$5:$U$104,0)))</f>
        <v/>
      </c>
      <c r="K67" s="58" t="str">
        <f aca="false">IF($A67="","",INDEX(Inventory_Data!$K$5:$K$104,MATCH($A67,Inventory_Data!$U$5:$U$104,0)))</f>
        <v/>
      </c>
      <c r="L67" s="61" t="str">
        <f aca="false">IF($A67="","",INDEX(Inventory_Data!$J$5:$J$104,MATCH($A67,Inventory_Data!$U$5:$U$104,0)))</f>
        <v/>
      </c>
      <c r="M67" s="58" t="str">
        <f aca="false">IF($A67="","",INDEX(Inventory_Data!$O$5:$O$104,MATCH($A67,Inventory_Data!$U$5:$U$104,0)))</f>
        <v/>
      </c>
      <c r="N67" s="62" t="str">
        <f aca="false">IF($A67="","",INDEX(Inventory_Data!$Q$5:$Q$104,MATCH($A67,Inventory_Data!$U$5:$U$104,0)))</f>
        <v/>
      </c>
      <c r="O67" s="63" t="str">
        <f aca="false">IF($A67="","",INDEX(Inventory_Data!$R$5:$R$104,MATCH($A67,Inventory_Data!$U$5:$U$104,0)))</f>
        <v/>
      </c>
      <c r="P67" s="61" t="str">
        <f aca="false">IF($A67="","",INDEX(Inventory_Data!$S$5:$S$104,MATCH($A67,Inventory_Data!$U$5:$U$104,0)))</f>
        <v/>
      </c>
    </row>
    <row r="68" customFormat="false" ht="15" hidden="false" customHeight="false" outlineLevel="0" collapsed="false">
      <c r="A68" s="57" t="str">
        <f aca="false">IF(ROW()-4&lt;=COUNT(Inventory_Data!$U$5:$U$104),ROW()-4,"")</f>
        <v/>
      </c>
      <c r="B68" s="58" t="str">
        <f aca="false">IF($A68="","",INDEX(Inventory_Data!$B$5:$B$104,MATCH($A68,Inventory_Data!$U$5:$U$104,0)))</f>
        <v/>
      </c>
      <c r="C68" s="58" t="str">
        <f aca="false">IF($A68="","",INDEX(Inventory_Data!$C$5:$C$104,MATCH($A68,Inventory_Data!$U$5:$U$104,0)))</f>
        <v/>
      </c>
      <c r="D68" s="58" t="str">
        <f aca="false">IF($A68="","",INDEX(Inventory_Data!$D$5:$D$104,MATCH($A68,Inventory_Data!$U$5:$U$104,0)))</f>
        <v/>
      </c>
      <c r="E68" s="58" t="str">
        <f aca="false">IF($A68="","",INDEX(Inventory_Data!$E$5:$E$104,MATCH($A68,Inventory_Data!$U$5:$U$104,0)))</f>
        <v/>
      </c>
      <c r="F68" s="58" t="str">
        <f aca="false">IF($A68="","",INDEX(Inventory_Data!$F$5:$F$104,MATCH($A68,Inventory_Data!$U$5:$U$104,0)))</f>
        <v/>
      </c>
      <c r="G68" s="58" t="str">
        <f aca="false">IF($A68="","",INDEX(Inventory_Data!$G$5:$G$104,MATCH($A68,Inventory_Data!$U$5:$U$104,0)))</f>
        <v/>
      </c>
      <c r="H68" s="59" t="str">
        <f aca="false">IF($A68="","",INDEX(Inventory_Data!$I$5:$I$104,MATCH($A68,Inventory_Data!$U$5:$U$104,0)))</f>
        <v/>
      </c>
      <c r="I68" s="58" t="str">
        <f aca="false">IF($A68="","",INDEX(Inventory_Data!$N$5:$N$104,MATCH($A68,Inventory_Data!$U$5:$U$104,0)))</f>
        <v/>
      </c>
      <c r="J68" s="60" t="str">
        <f aca="false">IF($A68="","",INDEX(Inventory_Data!$M$5:$M$104,MATCH($A68,Inventory_Data!$U$5:$U$104,0)))</f>
        <v/>
      </c>
      <c r="K68" s="58" t="str">
        <f aca="false">IF($A68="","",INDEX(Inventory_Data!$K$5:$K$104,MATCH($A68,Inventory_Data!$U$5:$U$104,0)))</f>
        <v/>
      </c>
      <c r="L68" s="61" t="str">
        <f aca="false">IF($A68="","",INDEX(Inventory_Data!$J$5:$J$104,MATCH($A68,Inventory_Data!$U$5:$U$104,0)))</f>
        <v/>
      </c>
      <c r="M68" s="58" t="str">
        <f aca="false">IF($A68="","",INDEX(Inventory_Data!$O$5:$O$104,MATCH($A68,Inventory_Data!$U$5:$U$104,0)))</f>
        <v/>
      </c>
      <c r="N68" s="62" t="str">
        <f aca="false">IF($A68="","",INDEX(Inventory_Data!$Q$5:$Q$104,MATCH($A68,Inventory_Data!$U$5:$U$104,0)))</f>
        <v/>
      </c>
      <c r="O68" s="63" t="str">
        <f aca="false">IF($A68="","",INDEX(Inventory_Data!$R$5:$R$104,MATCH($A68,Inventory_Data!$U$5:$U$104,0)))</f>
        <v/>
      </c>
      <c r="P68" s="61" t="str">
        <f aca="false">IF($A68="","",INDEX(Inventory_Data!$S$5:$S$104,MATCH($A68,Inventory_Data!$U$5:$U$104,0)))</f>
        <v/>
      </c>
    </row>
    <row r="69" customFormat="false" ht="15" hidden="false" customHeight="false" outlineLevel="0" collapsed="false">
      <c r="A69" s="57" t="str">
        <f aca="false">IF(ROW()-4&lt;=COUNT(Inventory_Data!$U$5:$U$104),ROW()-4,"")</f>
        <v/>
      </c>
      <c r="B69" s="58" t="str">
        <f aca="false">IF($A69="","",INDEX(Inventory_Data!$B$5:$B$104,MATCH($A69,Inventory_Data!$U$5:$U$104,0)))</f>
        <v/>
      </c>
      <c r="C69" s="58" t="str">
        <f aca="false">IF($A69="","",INDEX(Inventory_Data!$C$5:$C$104,MATCH($A69,Inventory_Data!$U$5:$U$104,0)))</f>
        <v/>
      </c>
      <c r="D69" s="58" t="str">
        <f aca="false">IF($A69="","",INDEX(Inventory_Data!$D$5:$D$104,MATCH($A69,Inventory_Data!$U$5:$U$104,0)))</f>
        <v/>
      </c>
      <c r="E69" s="58" t="str">
        <f aca="false">IF($A69="","",INDEX(Inventory_Data!$E$5:$E$104,MATCH($A69,Inventory_Data!$U$5:$U$104,0)))</f>
        <v/>
      </c>
      <c r="F69" s="58" t="str">
        <f aca="false">IF($A69="","",INDEX(Inventory_Data!$F$5:$F$104,MATCH($A69,Inventory_Data!$U$5:$U$104,0)))</f>
        <v/>
      </c>
      <c r="G69" s="58" t="str">
        <f aca="false">IF($A69="","",INDEX(Inventory_Data!$G$5:$G$104,MATCH($A69,Inventory_Data!$U$5:$U$104,0)))</f>
        <v/>
      </c>
      <c r="H69" s="59" t="str">
        <f aca="false">IF($A69="","",INDEX(Inventory_Data!$I$5:$I$104,MATCH($A69,Inventory_Data!$U$5:$U$104,0)))</f>
        <v/>
      </c>
      <c r="I69" s="58" t="str">
        <f aca="false">IF($A69="","",INDEX(Inventory_Data!$N$5:$N$104,MATCH($A69,Inventory_Data!$U$5:$U$104,0)))</f>
        <v/>
      </c>
      <c r="J69" s="60" t="str">
        <f aca="false">IF($A69="","",INDEX(Inventory_Data!$M$5:$M$104,MATCH($A69,Inventory_Data!$U$5:$U$104,0)))</f>
        <v/>
      </c>
      <c r="K69" s="58" t="str">
        <f aca="false">IF($A69="","",INDEX(Inventory_Data!$K$5:$K$104,MATCH($A69,Inventory_Data!$U$5:$U$104,0)))</f>
        <v/>
      </c>
      <c r="L69" s="61" t="str">
        <f aca="false">IF($A69="","",INDEX(Inventory_Data!$J$5:$J$104,MATCH($A69,Inventory_Data!$U$5:$U$104,0)))</f>
        <v/>
      </c>
      <c r="M69" s="58" t="str">
        <f aca="false">IF($A69="","",INDEX(Inventory_Data!$O$5:$O$104,MATCH($A69,Inventory_Data!$U$5:$U$104,0)))</f>
        <v/>
      </c>
      <c r="N69" s="62" t="str">
        <f aca="false">IF($A69="","",INDEX(Inventory_Data!$Q$5:$Q$104,MATCH($A69,Inventory_Data!$U$5:$U$104,0)))</f>
        <v/>
      </c>
      <c r="O69" s="63" t="str">
        <f aca="false">IF($A69="","",INDEX(Inventory_Data!$R$5:$R$104,MATCH($A69,Inventory_Data!$U$5:$U$104,0)))</f>
        <v/>
      </c>
      <c r="P69" s="61" t="str">
        <f aca="false">IF($A69="","",INDEX(Inventory_Data!$S$5:$S$104,MATCH($A69,Inventory_Data!$U$5:$U$104,0)))</f>
        <v/>
      </c>
    </row>
    <row r="70" customFormat="false" ht="15" hidden="false" customHeight="false" outlineLevel="0" collapsed="false">
      <c r="A70" s="57" t="str">
        <f aca="false">IF(ROW()-4&lt;=COUNT(Inventory_Data!$U$5:$U$104),ROW()-4,"")</f>
        <v/>
      </c>
      <c r="B70" s="58" t="str">
        <f aca="false">IF($A70="","",INDEX(Inventory_Data!$B$5:$B$104,MATCH($A70,Inventory_Data!$U$5:$U$104,0)))</f>
        <v/>
      </c>
      <c r="C70" s="58" t="str">
        <f aca="false">IF($A70="","",INDEX(Inventory_Data!$C$5:$C$104,MATCH($A70,Inventory_Data!$U$5:$U$104,0)))</f>
        <v/>
      </c>
      <c r="D70" s="58" t="str">
        <f aca="false">IF($A70="","",INDEX(Inventory_Data!$D$5:$D$104,MATCH($A70,Inventory_Data!$U$5:$U$104,0)))</f>
        <v/>
      </c>
      <c r="E70" s="58" t="str">
        <f aca="false">IF($A70="","",INDEX(Inventory_Data!$E$5:$E$104,MATCH($A70,Inventory_Data!$U$5:$U$104,0)))</f>
        <v/>
      </c>
      <c r="F70" s="58" t="str">
        <f aca="false">IF($A70="","",INDEX(Inventory_Data!$F$5:$F$104,MATCH($A70,Inventory_Data!$U$5:$U$104,0)))</f>
        <v/>
      </c>
      <c r="G70" s="58" t="str">
        <f aca="false">IF($A70="","",INDEX(Inventory_Data!$G$5:$G$104,MATCH($A70,Inventory_Data!$U$5:$U$104,0)))</f>
        <v/>
      </c>
      <c r="H70" s="59" t="str">
        <f aca="false">IF($A70="","",INDEX(Inventory_Data!$I$5:$I$104,MATCH($A70,Inventory_Data!$U$5:$U$104,0)))</f>
        <v/>
      </c>
      <c r="I70" s="58" t="str">
        <f aca="false">IF($A70="","",INDEX(Inventory_Data!$N$5:$N$104,MATCH($A70,Inventory_Data!$U$5:$U$104,0)))</f>
        <v/>
      </c>
      <c r="J70" s="60" t="str">
        <f aca="false">IF($A70="","",INDEX(Inventory_Data!$M$5:$M$104,MATCH($A70,Inventory_Data!$U$5:$U$104,0)))</f>
        <v/>
      </c>
      <c r="K70" s="58" t="str">
        <f aca="false">IF($A70="","",INDEX(Inventory_Data!$K$5:$K$104,MATCH($A70,Inventory_Data!$U$5:$U$104,0)))</f>
        <v/>
      </c>
      <c r="L70" s="61" t="str">
        <f aca="false">IF($A70="","",INDEX(Inventory_Data!$J$5:$J$104,MATCH($A70,Inventory_Data!$U$5:$U$104,0)))</f>
        <v/>
      </c>
      <c r="M70" s="58" t="str">
        <f aca="false">IF($A70="","",INDEX(Inventory_Data!$O$5:$O$104,MATCH($A70,Inventory_Data!$U$5:$U$104,0)))</f>
        <v/>
      </c>
      <c r="N70" s="62" t="str">
        <f aca="false">IF($A70="","",INDEX(Inventory_Data!$Q$5:$Q$104,MATCH($A70,Inventory_Data!$U$5:$U$104,0)))</f>
        <v/>
      </c>
      <c r="O70" s="63" t="str">
        <f aca="false">IF($A70="","",INDEX(Inventory_Data!$R$5:$R$104,MATCH($A70,Inventory_Data!$U$5:$U$104,0)))</f>
        <v/>
      </c>
      <c r="P70" s="61" t="str">
        <f aca="false">IF($A70="","",INDEX(Inventory_Data!$S$5:$S$104,MATCH($A70,Inventory_Data!$U$5:$U$104,0)))</f>
        <v/>
      </c>
    </row>
    <row r="71" customFormat="false" ht="15" hidden="false" customHeight="false" outlineLevel="0" collapsed="false">
      <c r="A71" s="57" t="str">
        <f aca="false">IF(ROW()-4&lt;=COUNT(Inventory_Data!$U$5:$U$104),ROW()-4,"")</f>
        <v/>
      </c>
      <c r="B71" s="58" t="str">
        <f aca="false">IF($A71="","",INDEX(Inventory_Data!$B$5:$B$104,MATCH($A71,Inventory_Data!$U$5:$U$104,0)))</f>
        <v/>
      </c>
      <c r="C71" s="58" t="str">
        <f aca="false">IF($A71="","",INDEX(Inventory_Data!$C$5:$C$104,MATCH($A71,Inventory_Data!$U$5:$U$104,0)))</f>
        <v/>
      </c>
      <c r="D71" s="58" t="str">
        <f aca="false">IF($A71="","",INDEX(Inventory_Data!$D$5:$D$104,MATCH($A71,Inventory_Data!$U$5:$U$104,0)))</f>
        <v/>
      </c>
      <c r="E71" s="58" t="str">
        <f aca="false">IF($A71="","",INDEX(Inventory_Data!$E$5:$E$104,MATCH($A71,Inventory_Data!$U$5:$U$104,0)))</f>
        <v/>
      </c>
      <c r="F71" s="58" t="str">
        <f aca="false">IF($A71="","",INDEX(Inventory_Data!$F$5:$F$104,MATCH($A71,Inventory_Data!$U$5:$U$104,0)))</f>
        <v/>
      </c>
      <c r="G71" s="58" t="str">
        <f aca="false">IF($A71="","",INDEX(Inventory_Data!$G$5:$G$104,MATCH($A71,Inventory_Data!$U$5:$U$104,0)))</f>
        <v/>
      </c>
      <c r="H71" s="59" t="str">
        <f aca="false">IF($A71="","",INDEX(Inventory_Data!$I$5:$I$104,MATCH($A71,Inventory_Data!$U$5:$U$104,0)))</f>
        <v/>
      </c>
      <c r="I71" s="58" t="str">
        <f aca="false">IF($A71="","",INDEX(Inventory_Data!$N$5:$N$104,MATCH($A71,Inventory_Data!$U$5:$U$104,0)))</f>
        <v/>
      </c>
      <c r="J71" s="60" t="str">
        <f aca="false">IF($A71="","",INDEX(Inventory_Data!$M$5:$M$104,MATCH($A71,Inventory_Data!$U$5:$U$104,0)))</f>
        <v/>
      </c>
      <c r="K71" s="58" t="str">
        <f aca="false">IF($A71="","",INDEX(Inventory_Data!$K$5:$K$104,MATCH($A71,Inventory_Data!$U$5:$U$104,0)))</f>
        <v/>
      </c>
      <c r="L71" s="61" t="str">
        <f aca="false">IF($A71="","",INDEX(Inventory_Data!$J$5:$J$104,MATCH($A71,Inventory_Data!$U$5:$U$104,0)))</f>
        <v/>
      </c>
      <c r="M71" s="58" t="str">
        <f aca="false">IF($A71="","",INDEX(Inventory_Data!$O$5:$O$104,MATCH($A71,Inventory_Data!$U$5:$U$104,0)))</f>
        <v/>
      </c>
      <c r="N71" s="62" t="str">
        <f aca="false">IF($A71="","",INDEX(Inventory_Data!$Q$5:$Q$104,MATCH($A71,Inventory_Data!$U$5:$U$104,0)))</f>
        <v/>
      </c>
      <c r="O71" s="63" t="str">
        <f aca="false">IF($A71="","",INDEX(Inventory_Data!$R$5:$R$104,MATCH($A71,Inventory_Data!$U$5:$U$104,0)))</f>
        <v/>
      </c>
      <c r="P71" s="61" t="str">
        <f aca="false">IF($A71="","",INDEX(Inventory_Data!$S$5:$S$104,MATCH($A71,Inventory_Data!$U$5:$U$104,0)))</f>
        <v/>
      </c>
    </row>
    <row r="72" customFormat="false" ht="15" hidden="false" customHeight="false" outlineLevel="0" collapsed="false">
      <c r="A72" s="57" t="str">
        <f aca="false">IF(ROW()-4&lt;=COUNT(Inventory_Data!$U$5:$U$104),ROW()-4,"")</f>
        <v/>
      </c>
      <c r="B72" s="58" t="str">
        <f aca="false">IF($A72="","",INDEX(Inventory_Data!$B$5:$B$104,MATCH($A72,Inventory_Data!$U$5:$U$104,0)))</f>
        <v/>
      </c>
      <c r="C72" s="58" t="str">
        <f aca="false">IF($A72="","",INDEX(Inventory_Data!$C$5:$C$104,MATCH($A72,Inventory_Data!$U$5:$U$104,0)))</f>
        <v/>
      </c>
      <c r="D72" s="58" t="str">
        <f aca="false">IF($A72="","",INDEX(Inventory_Data!$D$5:$D$104,MATCH($A72,Inventory_Data!$U$5:$U$104,0)))</f>
        <v/>
      </c>
      <c r="E72" s="58" t="str">
        <f aca="false">IF($A72="","",INDEX(Inventory_Data!$E$5:$E$104,MATCH($A72,Inventory_Data!$U$5:$U$104,0)))</f>
        <v/>
      </c>
      <c r="F72" s="58" t="str">
        <f aca="false">IF($A72="","",INDEX(Inventory_Data!$F$5:$F$104,MATCH($A72,Inventory_Data!$U$5:$U$104,0)))</f>
        <v/>
      </c>
      <c r="G72" s="58" t="str">
        <f aca="false">IF($A72="","",INDEX(Inventory_Data!$G$5:$G$104,MATCH($A72,Inventory_Data!$U$5:$U$104,0)))</f>
        <v/>
      </c>
      <c r="H72" s="59" t="str">
        <f aca="false">IF($A72="","",INDEX(Inventory_Data!$I$5:$I$104,MATCH($A72,Inventory_Data!$U$5:$U$104,0)))</f>
        <v/>
      </c>
      <c r="I72" s="58" t="str">
        <f aca="false">IF($A72="","",INDEX(Inventory_Data!$N$5:$N$104,MATCH($A72,Inventory_Data!$U$5:$U$104,0)))</f>
        <v/>
      </c>
      <c r="J72" s="60" t="str">
        <f aca="false">IF($A72="","",INDEX(Inventory_Data!$M$5:$M$104,MATCH($A72,Inventory_Data!$U$5:$U$104,0)))</f>
        <v/>
      </c>
      <c r="K72" s="58" t="str">
        <f aca="false">IF($A72="","",INDEX(Inventory_Data!$K$5:$K$104,MATCH($A72,Inventory_Data!$U$5:$U$104,0)))</f>
        <v/>
      </c>
      <c r="L72" s="61" t="str">
        <f aca="false">IF($A72="","",INDEX(Inventory_Data!$J$5:$J$104,MATCH($A72,Inventory_Data!$U$5:$U$104,0)))</f>
        <v/>
      </c>
      <c r="M72" s="58" t="str">
        <f aca="false">IF($A72="","",INDEX(Inventory_Data!$O$5:$O$104,MATCH($A72,Inventory_Data!$U$5:$U$104,0)))</f>
        <v/>
      </c>
      <c r="N72" s="62" t="str">
        <f aca="false">IF($A72="","",INDEX(Inventory_Data!$Q$5:$Q$104,MATCH($A72,Inventory_Data!$U$5:$U$104,0)))</f>
        <v/>
      </c>
      <c r="O72" s="63" t="str">
        <f aca="false">IF($A72="","",INDEX(Inventory_Data!$R$5:$R$104,MATCH($A72,Inventory_Data!$U$5:$U$104,0)))</f>
        <v/>
      </c>
      <c r="P72" s="61" t="str">
        <f aca="false">IF($A72="","",INDEX(Inventory_Data!$S$5:$S$104,MATCH($A72,Inventory_Data!$U$5:$U$104,0)))</f>
        <v/>
      </c>
    </row>
    <row r="73" customFormat="false" ht="15" hidden="false" customHeight="false" outlineLevel="0" collapsed="false">
      <c r="A73" s="57" t="str">
        <f aca="false">IF(ROW()-4&lt;=COUNT(Inventory_Data!$U$5:$U$104),ROW()-4,"")</f>
        <v/>
      </c>
      <c r="B73" s="58" t="str">
        <f aca="false">IF($A73="","",INDEX(Inventory_Data!$B$5:$B$104,MATCH($A73,Inventory_Data!$U$5:$U$104,0)))</f>
        <v/>
      </c>
      <c r="C73" s="58" t="str">
        <f aca="false">IF($A73="","",INDEX(Inventory_Data!$C$5:$C$104,MATCH($A73,Inventory_Data!$U$5:$U$104,0)))</f>
        <v/>
      </c>
      <c r="D73" s="58" t="str">
        <f aca="false">IF($A73="","",INDEX(Inventory_Data!$D$5:$D$104,MATCH($A73,Inventory_Data!$U$5:$U$104,0)))</f>
        <v/>
      </c>
      <c r="E73" s="58" t="str">
        <f aca="false">IF($A73="","",INDEX(Inventory_Data!$E$5:$E$104,MATCH($A73,Inventory_Data!$U$5:$U$104,0)))</f>
        <v/>
      </c>
      <c r="F73" s="58" t="str">
        <f aca="false">IF($A73="","",INDEX(Inventory_Data!$F$5:$F$104,MATCH($A73,Inventory_Data!$U$5:$U$104,0)))</f>
        <v/>
      </c>
      <c r="G73" s="58" t="str">
        <f aca="false">IF($A73="","",INDEX(Inventory_Data!$G$5:$G$104,MATCH($A73,Inventory_Data!$U$5:$U$104,0)))</f>
        <v/>
      </c>
      <c r="H73" s="59" t="str">
        <f aca="false">IF($A73="","",INDEX(Inventory_Data!$I$5:$I$104,MATCH($A73,Inventory_Data!$U$5:$U$104,0)))</f>
        <v/>
      </c>
      <c r="I73" s="58" t="str">
        <f aca="false">IF($A73="","",INDEX(Inventory_Data!$N$5:$N$104,MATCH($A73,Inventory_Data!$U$5:$U$104,0)))</f>
        <v/>
      </c>
      <c r="J73" s="60" t="str">
        <f aca="false">IF($A73="","",INDEX(Inventory_Data!$M$5:$M$104,MATCH($A73,Inventory_Data!$U$5:$U$104,0)))</f>
        <v/>
      </c>
      <c r="K73" s="58" t="str">
        <f aca="false">IF($A73="","",INDEX(Inventory_Data!$K$5:$K$104,MATCH($A73,Inventory_Data!$U$5:$U$104,0)))</f>
        <v/>
      </c>
      <c r="L73" s="61" t="str">
        <f aca="false">IF($A73="","",INDEX(Inventory_Data!$J$5:$J$104,MATCH($A73,Inventory_Data!$U$5:$U$104,0)))</f>
        <v/>
      </c>
      <c r="M73" s="58" t="str">
        <f aca="false">IF($A73="","",INDEX(Inventory_Data!$O$5:$O$104,MATCH($A73,Inventory_Data!$U$5:$U$104,0)))</f>
        <v/>
      </c>
      <c r="N73" s="62" t="str">
        <f aca="false">IF($A73="","",INDEX(Inventory_Data!$Q$5:$Q$104,MATCH($A73,Inventory_Data!$U$5:$U$104,0)))</f>
        <v/>
      </c>
      <c r="O73" s="63" t="str">
        <f aca="false">IF($A73="","",INDEX(Inventory_Data!$R$5:$R$104,MATCH($A73,Inventory_Data!$U$5:$U$104,0)))</f>
        <v/>
      </c>
      <c r="P73" s="61" t="str">
        <f aca="false">IF($A73="","",INDEX(Inventory_Data!$S$5:$S$104,MATCH($A73,Inventory_Data!$U$5:$U$104,0)))</f>
        <v/>
      </c>
    </row>
    <row r="74" customFormat="false" ht="15" hidden="false" customHeight="false" outlineLevel="0" collapsed="false">
      <c r="A74" s="57" t="str">
        <f aca="false">IF(ROW()-4&lt;=COUNT(Inventory_Data!$U$5:$U$104),ROW()-4,"")</f>
        <v/>
      </c>
      <c r="B74" s="58" t="str">
        <f aca="false">IF($A74="","",INDEX(Inventory_Data!$B$5:$B$104,MATCH($A74,Inventory_Data!$U$5:$U$104,0)))</f>
        <v/>
      </c>
      <c r="C74" s="58" t="str">
        <f aca="false">IF($A74="","",INDEX(Inventory_Data!$C$5:$C$104,MATCH($A74,Inventory_Data!$U$5:$U$104,0)))</f>
        <v/>
      </c>
      <c r="D74" s="58" t="str">
        <f aca="false">IF($A74="","",INDEX(Inventory_Data!$D$5:$D$104,MATCH($A74,Inventory_Data!$U$5:$U$104,0)))</f>
        <v/>
      </c>
      <c r="E74" s="58" t="str">
        <f aca="false">IF($A74="","",INDEX(Inventory_Data!$E$5:$E$104,MATCH($A74,Inventory_Data!$U$5:$U$104,0)))</f>
        <v/>
      </c>
      <c r="F74" s="58" t="str">
        <f aca="false">IF($A74="","",INDEX(Inventory_Data!$F$5:$F$104,MATCH($A74,Inventory_Data!$U$5:$U$104,0)))</f>
        <v/>
      </c>
      <c r="G74" s="58" t="str">
        <f aca="false">IF($A74="","",INDEX(Inventory_Data!$G$5:$G$104,MATCH($A74,Inventory_Data!$U$5:$U$104,0)))</f>
        <v/>
      </c>
      <c r="H74" s="59" t="str">
        <f aca="false">IF($A74="","",INDEX(Inventory_Data!$I$5:$I$104,MATCH($A74,Inventory_Data!$U$5:$U$104,0)))</f>
        <v/>
      </c>
      <c r="I74" s="58" t="str">
        <f aca="false">IF($A74="","",INDEX(Inventory_Data!$N$5:$N$104,MATCH($A74,Inventory_Data!$U$5:$U$104,0)))</f>
        <v/>
      </c>
      <c r="J74" s="60" t="str">
        <f aca="false">IF($A74="","",INDEX(Inventory_Data!$M$5:$M$104,MATCH($A74,Inventory_Data!$U$5:$U$104,0)))</f>
        <v/>
      </c>
      <c r="K74" s="58" t="str">
        <f aca="false">IF($A74="","",INDEX(Inventory_Data!$K$5:$K$104,MATCH($A74,Inventory_Data!$U$5:$U$104,0)))</f>
        <v/>
      </c>
      <c r="L74" s="61" t="str">
        <f aca="false">IF($A74="","",INDEX(Inventory_Data!$J$5:$J$104,MATCH($A74,Inventory_Data!$U$5:$U$104,0)))</f>
        <v/>
      </c>
      <c r="M74" s="58" t="str">
        <f aca="false">IF($A74="","",INDEX(Inventory_Data!$O$5:$O$104,MATCH($A74,Inventory_Data!$U$5:$U$104,0)))</f>
        <v/>
      </c>
      <c r="N74" s="62" t="str">
        <f aca="false">IF($A74="","",INDEX(Inventory_Data!$Q$5:$Q$104,MATCH($A74,Inventory_Data!$U$5:$U$104,0)))</f>
        <v/>
      </c>
      <c r="O74" s="63" t="str">
        <f aca="false">IF($A74="","",INDEX(Inventory_Data!$R$5:$R$104,MATCH($A74,Inventory_Data!$U$5:$U$104,0)))</f>
        <v/>
      </c>
      <c r="P74" s="61" t="str">
        <f aca="false">IF($A74="","",INDEX(Inventory_Data!$S$5:$S$104,MATCH($A74,Inventory_Data!$U$5:$U$104,0)))</f>
        <v/>
      </c>
    </row>
    <row r="75" customFormat="false" ht="15" hidden="false" customHeight="false" outlineLevel="0" collapsed="false">
      <c r="A75" s="57" t="str">
        <f aca="false">IF(ROW()-4&lt;=COUNT(Inventory_Data!$U$5:$U$104),ROW()-4,"")</f>
        <v/>
      </c>
      <c r="B75" s="58" t="str">
        <f aca="false">IF($A75="","",INDEX(Inventory_Data!$B$5:$B$104,MATCH($A75,Inventory_Data!$U$5:$U$104,0)))</f>
        <v/>
      </c>
      <c r="C75" s="58" t="str">
        <f aca="false">IF($A75="","",INDEX(Inventory_Data!$C$5:$C$104,MATCH($A75,Inventory_Data!$U$5:$U$104,0)))</f>
        <v/>
      </c>
      <c r="D75" s="58" t="str">
        <f aca="false">IF($A75="","",INDEX(Inventory_Data!$D$5:$D$104,MATCH($A75,Inventory_Data!$U$5:$U$104,0)))</f>
        <v/>
      </c>
      <c r="E75" s="58" t="str">
        <f aca="false">IF($A75="","",INDEX(Inventory_Data!$E$5:$E$104,MATCH($A75,Inventory_Data!$U$5:$U$104,0)))</f>
        <v/>
      </c>
      <c r="F75" s="58" t="str">
        <f aca="false">IF($A75="","",INDEX(Inventory_Data!$F$5:$F$104,MATCH($A75,Inventory_Data!$U$5:$U$104,0)))</f>
        <v/>
      </c>
      <c r="G75" s="58" t="str">
        <f aca="false">IF($A75="","",INDEX(Inventory_Data!$G$5:$G$104,MATCH($A75,Inventory_Data!$U$5:$U$104,0)))</f>
        <v/>
      </c>
      <c r="H75" s="59" t="str">
        <f aca="false">IF($A75="","",INDEX(Inventory_Data!$I$5:$I$104,MATCH($A75,Inventory_Data!$U$5:$U$104,0)))</f>
        <v/>
      </c>
      <c r="I75" s="58" t="str">
        <f aca="false">IF($A75="","",INDEX(Inventory_Data!$N$5:$N$104,MATCH($A75,Inventory_Data!$U$5:$U$104,0)))</f>
        <v/>
      </c>
      <c r="J75" s="60" t="str">
        <f aca="false">IF($A75="","",INDEX(Inventory_Data!$M$5:$M$104,MATCH($A75,Inventory_Data!$U$5:$U$104,0)))</f>
        <v/>
      </c>
      <c r="K75" s="58" t="str">
        <f aca="false">IF($A75="","",INDEX(Inventory_Data!$K$5:$K$104,MATCH($A75,Inventory_Data!$U$5:$U$104,0)))</f>
        <v/>
      </c>
      <c r="L75" s="61" t="str">
        <f aca="false">IF($A75="","",INDEX(Inventory_Data!$J$5:$J$104,MATCH($A75,Inventory_Data!$U$5:$U$104,0)))</f>
        <v/>
      </c>
      <c r="M75" s="58" t="str">
        <f aca="false">IF($A75="","",INDEX(Inventory_Data!$O$5:$O$104,MATCH($A75,Inventory_Data!$U$5:$U$104,0)))</f>
        <v/>
      </c>
      <c r="N75" s="62" t="str">
        <f aca="false">IF($A75="","",INDEX(Inventory_Data!$Q$5:$Q$104,MATCH($A75,Inventory_Data!$U$5:$U$104,0)))</f>
        <v/>
      </c>
      <c r="O75" s="63" t="str">
        <f aca="false">IF($A75="","",INDEX(Inventory_Data!$R$5:$R$104,MATCH($A75,Inventory_Data!$U$5:$U$104,0)))</f>
        <v/>
      </c>
      <c r="P75" s="61" t="str">
        <f aca="false">IF($A75="","",INDEX(Inventory_Data!$S$5:$S$104,MATCH($A75,Inventory_Data!$U$5:$U$104,0)))</f>
        <v/>
      </c>
    </row>
    <row r="76" customFormat="false" ht="15" hidden="false" customHeight="false" outlineLevel="0" collapsed="false">
      <c r="A76" s="57" t="str">
        <f aca="false">IF(ROW()-4&lt;=COUNT(Inventory_Data!$U$5:$U$104),ROW()-4,"")</f>
        <v/>
      </c>
      <c r="B76" s="58" t="str">
        <f aca="false">IF($A76="","",INDEX(Inventory_Data!$B$5:$B$104,MATCH($A76,Inventory_Data!$U$5:$U$104,0)))</f>
        <v/>
      </c>
      <c r="C76" s="58" t="str">
        <f aca="false">IF($A76="","",INDEX(Inventory_Data!$C$5:$C$104,MATCH($A76,Inventory_Data!$U$5:$U$104,0)))</f>
        <v/>
      </c>
      <c r="D76" s="58" t="str">
        <f aca="false">IF($A76="","",INDEX(Inventory_Data!$D$5:$D$104,MATCH($A76,Inventory_Data!$U$5:$U$104,0)))</f>
        <v/>
      </c>
      <c r="E76" s="58" t="str">
        <f aca="false">IF($A76="","",INDEX(Inventory_Data!$E$5:$E$104,MATCH($A76,Inventory_Data!$U$5:$U$104,0)))</f>
        <v/>
      </c>
      <c r="F76" s="58" t="str">
        <f aca="false">IF($A76="","",INDEX(Inventory_Data!$F$5:$F$104,MATCH($A76,Inventory_Data!$U$5:$U$104,0)))</f>
        <v/>
      </c>
      <c r="G76" s="58" t="str">
        <f aca="false">IF($A76="","",INDEX(Inventory_Data!$G$5:$G$104,MATCH($A76,Inventory_Data!$U$5:$U$104,0)))</f>
        <v/>
      </c>
      <c r="H76" s="59" t="str">
        <f aca="false">IF($A76="","",INDEX(Inventory_Data!$I$5:$I$104,MATCH($A76,Inventory_Data!$U$5:$U$104,0)))</f>
        <v/>
      </c>
      <c r="I76" s="58" t="str">
        <f aca="false">IF($A76="","",INDEX(Inventory_Data!$N$5:$N$104,MATCH($A76,Inventory_Data!$U$5:$U$104,0)))</f>
        <v/>
      </c>
      <c r="J76" s="60" t="str">
        <f aca="false">IF($A76="","",INDEX(Inventory_Data!$M$5:$M$104,MATCH($A76,Inventory_Data!$U$5:$U$104,0)))</f>
        <v/>
      </c>
      <c r="K76" s="58" t="str">
        <f aca="false">IF($A76="","",INDEX(Inventory_Data!$K$5:$K$104,MATCH($A76,Inventory_Data!$U$5:$U$104,0)))</f>
        <v/>
      </c>
      <c r="L76" s="61" t="str">
        <f aca="false">IF($A76="","",INDEX(Inventory_Data!$J$5:$J$104,MATCH($A76,Inventory_Data!$U$5:$U$104,0)))</f>
        <v/>
      </c>
      <c r="M76" s="58" t="str">
        <f aca="false">IF($A76="","",INDEX(Inventory_Data!$O$5:$O$104,MATCH($A76,Inventory_Data!$U$5:$U$104,0)))</f>
        <v/>
      </c>
      <c r="N76" s="62" t="str">
        <f aca="false">IF($A76="","",INDEX(Inventory_Data!$Q$5:$Q$104,MATCH($A76,Inventory_Data!$U$5:$U$104,0)))</f>
        <v/>
      </c>
      <c r="O76" s="63" t="str">
        <f aca="false">IF($A76="","",INDEX(Inventory_Data!$R$5:$R$104,MATCH($A76,Inventory_Data!$U$5:$U$104,0)))</f>
        <v/>
      </c>
      <c r="P76" s="61" t="str">
        <f aca="false">IF($A76="","",INDEX(Inventory_Data!$S$5:$S$104,MATCH($A76,Inventory_Data!$U$5:$U$104,0)))</f>
        <v/>
      </c>
    </row>
    <row r="77" customFormat="false" ht="15" hidden="false" customHeight="false" outlineLevel="0" collapsed="false">
      <c r="A77" s="57" t="str">
        <f aca="false">IF(ROW()-4&lt;=COUNT(Inventory_Data!$U$5:$U$104),ROW()-4,"")</f>
        <v/>
      </c>
      <c r="B77" s="58" t="str">
        <f aca="false">IF($A77="","",INDEX(Inventory_Data!$B$5:$B$104,MATCH($A77,Inventory_Data!$U$5:$U$104,0)))</f>
        <v/>
      </c>
      <c r="C77" s="58" t="str">
        <f aca="false">IF($A77="","",INDEX(Inventory_Data!$C$5:$C$104,MATCH($A77,Inventory_Data!$U$5:$U$104,0)))</f>
        <v/>
      </c>
      <c r="D77" s="58" t="str">
        <f aca="false">IF($A77="","",INDEX(Inventory_Data!$D$5:$D$104,MATCH($A77,Inventory_Data!$U$5:$U$104,0)))</f>
        <v/>
      </c>
      <c r="E77" s="58" t="str">
        <f aca="false">IF($A77="","",INDEX(Inventory_Data!$E$5:$E$104,MATCH($A77,Inventory_Data!$U$5:$U$104,0)))</f>
        <v/>
      </c>
      <c r="F77" s="58" t="str">
        <f aca="false">IF($A77="","",INDEX(Inventory_Data!$F$5:$F$104,MATCH($A77,Inventory_Data!$U$5:$U$104,0)))</f>
        <v/>
      </c>
      <c r="G77" s="58" t="str">
        <f aca="false">IF($A77="","",INDEX(Inventory_Data!$G$5:$G$104,MATCH($A77,Inventory_Data!$U$5:$U$104,0)))</f>
        <v/>
      </c>
      <c r="H77" s="59" t="str">
        <f aca="false">IF($A77="","",INDEX(Inventory_Data!$I$5:$I$104,MATCH($A77,Inventory_Data!$U$5:$U$104,0)))</f>
        <v/>
      </c>
      <c r="I77" s="58" t="str">
        <f aca="false">IF($A77="","",INDEX(Inventory_Data!$N$5:$N$104,MATCH($A77,Inventory_Data!$U$5:$U$104,0)))</f>
        <v/>
      </c>
      <c r="J77" s="60" t="str">
        <f aca="false">IF($A77="","",INDEX(Inventory_Data!$M$5:$M$104,MATCH($A77,Inventory_Data!$U$5:$U$104,0)))</f>
        <v/>
      </c>
      <c r="K77" s="58" t="str">
        <f aca="false">IF($A77="","",INDEX(Inventory_Data!$K$5:$K$104,MATCH($A77,Inventory_Data!$U$5:$U$104,0)))</f>
        <v/>
      </c>
      <c r="L77" s="61" t="str">
        <f aca="false">IF($A77="","",INDEX(Inventory_Data!$J$5:$J$104,MATCH($A77,Inventory_Data!$U$5:$U$104,0)))</f>
        <v/>
      </c>
      <c r="M77" s="58" t="str">
        <f aca="false">IF($A77="","",INDEX(Inventory_Data!$O$5:$O$104,MATCH($A77,Inventory_Data!$U$5:$U$104,0)))</f>
        <v/>
      </c>
      <c r="N77" s="62" t="str">
        <f aca="false">IF($A77="","",INDEX(Inventory_Data!$Q$5:$Q$104,MATCH($A77,Inventory_Data!$U$5:$U$104,0)))</f>
        <v/>
      </c>
      <c r="O77" s="63" t="str">
        <f aca="false">IF($A77="","",INDEX(Inventory_Data!$R$5:$R$104,MATCH($A77,Inventory_Data!$U$5:$U$104,0)))</f>
        <v/>
      </c>
      <c r="P77" s="61" t="str">
        <f aca="false">IF($A77="","",INDEX(Inventory_Data!$S$5:$S$104,MATCH($A77,Inventory_Data!$U$5:$U$104,0)))</f>
        <v/>
      </c>
    </row>
    <row r="78" customFormat="false" ht="15" hidden="false" customHeight="false" outlineLevel="0" collapsed="false">
      <c r="A78" s="57" t="str">
        <f aca="false">IF(ROW()-4&lt;=COUNT(Inventory_Data!$U$5:$U$104),ROW()-4,"")</f>
        <v/>
      </c>
      <c r="B78" s="58" t="str">
        <f aca="false">IF($A78="","",INDEX(Inventory_Data!$B$5:$B$104,MATCH($A78,Inventory_Data!$U$5:$U$104,0)))</f>
        <v/>
      </c>
      <c r="C78" s="58" t="str">
        <f aca="false">IF($A78="","",INDEX(Inventory_Data!$C$5:$C$104,MATCH($A78,Inventory_Data!$U$5:$U$104,0)))</f>
        <v/>
      </c>
      <c r="D78" s="58" t="str">
        <f aca="false">IF($A78="","",INDEX(Inventory_Data!$D$5:$D$104,MATCH($A78,Inventory_Data!$U$5:$U$104,0)))</f>
        <v/>
      </c>
      <c r="E78" s="58" t="str">
        <f aca="false">IF($A78="","",INDEX(Inventory_Data!$E$5:$E$104,MATCH($A78,Inventory_Data!$U$5:$U$104,0)))</f>
        <v/>
      </c>
      <c r="F78" s="58" t="str">
        <f aca="false">IF($A78="","",INDEX(Inventory_Data!$F$5:$F$104,MATCH($A78,Inventory_Data!$U$5:$U$104,0)))</f>
        <v/>
      </c>
      <c r="G78" s="58" t="str">
        <f aca="false">IF($A78="","",INDEX(Inventory_Data!$G$5:$G$104,MATCH($A78,Inventory_Data!$U$5:$U$104,0)))</f>
        <v/>
      </c>
      <c r="H78" s="59" t="str">
        <f aca="false">IF($A78="","",INDEX(Inventory_Data!$I$5:$I$104,MATCH($A78,Inventory_Data!$U$5:$U$104,0)))</f>
        <v/>
      </c>
      <c r="I78" s="58" t="str">
        <f aca="false">IF($A78="","",INDEX(Inventory_Data!$N$5:$N$104,MATCH($A78,Inventory_Data!$U$5:$U$104,0)))</f>
        <v/>
      </c>
      <c r="J78" s="60" t="str">
        <f aca="false">IF($A78="","",INDEX(Inventory_Data!$M$5:$M$104,MATCH($A78,Inventory_Data!$U$5:$U$104,0)))</f>
        <v/>
      </c>
      <c r="K78" s="58" t="str">
        <f aca="false">IF($A78="","",INDEX(Inventory_Data!$K$5:$K$104,MATCH($A78,Inventory_Data!$U$5:$U$104,0)))</f>
        <v/>
      </c>
      <c r="L78" s="61" t="str">
        <f aca="false">IF($A78="","",INDEX(Inventory_Data!$J$5:$J$104,MATCH($A78,Inventory_Data!$U$5:$U$104,0)))</f>
        <v/>
      </c>
      <c r="M78" s="58" t="str">
        <f aca="false">IF($A78="","",INDEX(Inventory_Data!$O$5:$O$104,MATCH($A78,Inventory_Data!$U$5:$U$104,0)))</f>
        <v/>
      </c>
      <c r="N78" s="62" t="str">
        <f aca="false">IF($A78="","",INDEX(Inventory_Data!$Q$5:$Q$104,MATCH($A78,Inventory_Data!$U$5:$U$104,0)))</f>
        <v/>
      </c>
      <c r="O78" s="63" t="str">
        <f aca="false">IF($A78="","",INDEX(Inventory_Data!$R$5:$R$104,MATCH($A78,Inventory_Data!$U$5:$U$104,0)))</f>
        <v/>
      </c>
      <c r="P78" s="61" t="str">
        <f aca="false">IF($A78="","",INDEX(Inventory_Data!$S$5:$S$104,MATCH($A78,Inventory_Data!$U$5:$U$104,0)))</f>
        <v/>
      </c>
    </row>
    <row r="79" customFormat="false" ht="15" hidden="false" customHeight="false" outlineLevel="0" collapsed="false">
      <c r="A79" s="57" t="str">
        <f aca="false">IF(ROW()-4&lt;=COUNT(Inventory_Data!$U$5:$U$104),ROW()-4,"")</f>
        <v/>
      </c>
      <c r="B79" s="58" t="str">
        <f aca="false">IF($A79="","",INDEX(Inventory_Data!$B$5:$B$104,MATCH($A79,Inventory_Data!$U$5:$U$104,0)))</f>
        <v/>
      </c>
      <c r="C79" s="58" t="str">
        <f aca="false">IF($A79="","",INDEX(Inventory_Data!$C$5:$C$104,MATCH($A79,Inventory_Data!$U$5:$U$104,0)))</f>
        <v/>
      </c>
      <c r="D79" s="58" t="str">
        <f aca="false">IF($A79="","",INDEX(Inventory_Data!$D$5:$D$104,MATCH($A79,Inventory_Data!$U$5:$U$104,0)))</f>
        <v/>
      </c>
      <c r="E79" s="58" t="str">
        <f aca="false">IF($A79="","",INDEX(Inventory_Data!$E$5:$E$104,MATCH($A79,Inventory_Data!$U$5:$U$104,0)))</f>
        <v/>
      </c>
      <c r="F79" s="58" t="str">
        <f aca="false">IF($A79="","",INDEX(Inventory_Data!$F$5:$F$104,MATCH($A79,Inventory_Data!$U$5:$U$104,0)))</f>
        <v/>
      </c>
      <c r="G79" s="58" t="str">
        <f aca="false">IF($A79="","",INDEX(Inventory_Data!$G$5:$G$104,MATCH($A79,Inventory_Data!$U$5:$U$104,0)))</f>
        <v/>
      </c>
      <c r="H79" s="59" t="str">
        <f aca="false">IF($A79="","",INDEX(Inventory_Data!$I$5:$I$104,MATCH($A79,Inventory_Data!$U$5:$U$104,0)))</f>
        <v/>
      </c>
      <c r="I79" s="58" t="str">
        <f aca="false">IF($A79="","",INDEX(Inventory_Data!$N$5:$N$104,MATCH($A79,Inventory_Data!$U$5:$U$104,0)))</f>
        <v/>
      </c>
      <c r="J79" s="60" t="str">
        <f aca="false">IF($A79="","",INDEX(Inventory_Data!$M$5:$M$104,MATCH($A79,Inventory_Data!$U$5:$U$104,0)))</f>
        <v/>
      </c>
      <c r="K79" s="58" t="str">
        <f aca="false">IF($A79="","",INDEX(Inventory_Data!$K$5:$K$104,MATCH($A79,Inventory_Data!$U$5:$U$104,0)))</f>
        <v/>
      </c>
      <c r="L79" s="61" t="str">
        <f aca="false">IF($A79="","",INDEX(Inventory_Data!$J$5:$J$104,MATCH($A79,Inventory_Data!$U$5:$U$104,0)))</f>
        <v/>
      </c>
      <c r="M79" s="58" t="str">
        <f aca="false">IF($A79="","",INDEX(Inventory_Data!$O$5:$O$104,MATCH($A79,Inventory_Data!$U$5:$U$104,0)))</f>
        <v/>
      </c>
      <c r="N79" s="62" t="str">
        <f aca="false">IF($A79="","",INDEX(Inventory_Data!$Q$5:$Q$104,MATCH($A79,Inventory_Data!$U$5:$U$104,0)))</f>
        <v/>
      </c>
      <c r="O79" s="63" t="str">
        <f aca="false">IF($A79="","",INDEX(Inventory_Data!$R$5:$R$104,MATCH($A79,Inventory_Data!$U$5:$U$104,0)))</f>
        <v/>
      </c>
      <c r="P79" s="61" t="str">
        <f aca="false">IF($A79="","",INDEX(Inventory_Data!$S$5:$S$104,MATCH($A79,Inventory_Data!$U$5:$U$104,0)))</f>
        <v/>
      </c>
    </row>
    <row r="80" customFormat="false" ht="15" hidden="false" customHeight="false" outlineLevel="0" collapsed="false">
      <c r="A80" s="57" t="str">
        <f aca="false">IF(ROW()-4&lt;=COUNT(Inventory_Data!$U$5:$U$104),ROW()-4,"")</f>
        <v/>
      </c>
      <c r="B80" s="58" t="str">
        <f aca="false">IF($A80="","",INDEX(Inventory_Data!$B$5:$B$104,MATCH($A80,Inventory_Data!$U$5:$U$104,0)))</f>
        <v/>
      </c>
      <c r="C80" s="58" t="str">
        <f aca="false">IF($A80="","",INDEX(Inventory_Data!$C$5:$C$104,MATCH($A80,Inventory_Data!$U$5:$U$104,0)))</f>
        <v/>
      </c>
      <c r="D80" s="58" t="str">
        <f aca="false">IF($A80="","",INDEX(Inventory_Data!$D$5:$D$104,MATCH($A80,Inventory_Data!$U$5:$U$104,0)))</f>
        <v/>
      </c>
      <c r="E80" s="58" t="str">
        <f aca="false">IF($A80="","",INDEX(Inventory_Data!$E$5:$E$104,MATCH($A80,Inventory_Data!$U$5:$U$104,0)))</f>
        <v/>
      </c>
      <c r="F80" s="58" t="str">
        <f aca="false">IF($A80="","",INDEX(Inventory_Data!$F$5:$F$104,MATCH($A80,Inventory_Data!$U$5:$U$104,0)))</f>
        <v/>
      </c>
      <c r="G80" s="58" t="str">
        <f aca="false">IF($A80="","",INDEX(Inventory_Data!$G$5:$G$104,MATCH($A80,Inventory_Data!$U$5:$U$104,0)))</f>
        <v/>
      </c>
      <c r="H80" s="59" t="str">
        <f aca="false">IF($A80="","",INDEX(Inventory_Data!$I$5:$I$104,MATCH($A80,Inventory_Data!$U$5:$U$104,0)))</f>
        <v/>
      </c>
      <c r="I80" s="58" t="str">
        <f aca="false">IF($A80="","",INDEX(Inventory_Data!$N$5:$N$104,MATCH($A80,Inventory_Data!$U$5:$U$104,0)))</f>
        <v/>
      </c>
      <c r="J80" s="60" t="str">
        <f aca="false">IF($A80="","",INDEX(Inventory_Data!$M$5:$M$104,MATCH($A80,Inventory_Data!$U$5:$U$104,0)))</f>
        <v/>
      </c>
      <c r="K80" s="58" t="str">
        <f aca="false">IF($A80="","",INDEX(Inventory_Data!$K$5:$K$104,MATCH($A80,Inventory_Data!$U$5:$U$104,0)))</f>
        <v/>
      </c>
      <c r="L80" s="61" t="str">
        <f aca="false">IF($A80="","",INDEX(Inventory_Data!$J$5:$J$104,MATCH($A80,Inventory_Data!$U$5:$U$104,0)))</f>
        <v/>
      </c>
      <c r="M80" s="58" t="str">
        <f aca="false">IF($A80="","",INDEX(Inventory_Data!$O$5:$O$104,MATCH($A80,Inventory_Data!$U$5:$U$104,0)))</f>
        <v/>
      </c>
      <c r="N80" s="62" t="str">
        <f aca="false">IF($A80="","",INDEX(Inventory_Data!$Q$5:$Q$104,MATCH($A80,Inventory_Data!$U$5:$U$104,0)))</f>
        <v/>
      </c>
      <c r="O80" s="63" t="str">
        <f aca="false">IF($A80="","",INDEX(Inventory_Data!$R$5:$R$104,MATCH($A80,Inventory_Data!$U$5:$U$104,0)))</f>
        <v/>
      </c>
      <c r="P80" s="61" t="str">
        <f aca="false">IF($A80="","",INDEX(Inventory_Data!$S$5:$S$104,MATCH($A80,Inventory_Data!$U$5:$U$104,0)))</f>
        <v/>
      </c>
    </row>
    <row r="81" customFormat="false" ht="15" hidden="false" customHeight="false" outlineLevel="0" collapsed="false">
      <c r="A81" s="57" t="str">
        <f aca="false">IF(ROW()-4&lt;=COUNT(Inventory_Data!$U$5:$U$104),ROW()-4,"")</f>
        <v/>
      </c>
      <c r="B81" s="58" t="str">
        <f aca="false">IF($A81="","",INDEX(Inventory_Data!$B$5:$B$104,MATCH($A81,Inventory_Data!$U$5:$U$104,0)))</f>
        <v/>
      </c>
      <c r="C81" s="58" t="str">
        <f aca="false">IF($A81="","",INDEX(Inventory_Data!$C$5:$C$104,MATCH($A81,Inventory_Data!$U$5:$U$104,0)))</f>
        <v/>
      </c>
      <c r="D81" s="58" t="str">
        <f aca="false">IF($A81="","",INDEX(Inventory_Data!$D$5:$D$104,MATCH($A81,Inventory_Data!$U$5:$U$104,0)))</f>
        <v/>
      </c>
      <c r="E81" s="58" t="str">
        <f aca="false">IF($A81="","",INDEX(Inventory_Data!$E$5:$E$104,MATCH($A81,Inventory_Data!$U$5:$U$104,0)))</f>
        <v/>
      </c>
      <c r="F81" s="58" t="str">
        <f aca="false">IF($A81="","",INDEX(Inventory_Data!$F$5:$F$104,MATCH($A81,Inventory_Data!$U$5:$U$104,0)))</f>
        <v/>
      </c>
      <c r="G81" s="58" t="str">
        <f aca="false">IF($A81="","",INDEX(Inventory_Data!$G$5:$G$104,MATCH($A81,Inventory_Data!$U$5:$U$104,0)))</f>
        <v/>
      </c>
      <c r="H81" s="59" t="str">
        <f aca="false">IF($A81="","",INDEX(Inventory_Data!$I$5:$I$104,MATCH($A81,Inventory_Data!$U$5:$U$104,0)))</f>
        <v/>
      </c>
      <c r="I81" s="58" t="str">
        <f aca="false">IF($A81="","",INDEX(Inventory_Data!$N$5:$N$104,MATCH($A81,Inventory_Data!$U$5:$U$104,0)))</f>
        <v/>
      </c>
      <c r="J81" s="60" t="str">
        <f aca="false">IF($A81="","",INDEX(Inventory_Data!$M$5:$M$104,MATCH($A81,Inventory_Data!$U$5:$U$104,0)))</f>
        <v/>
      </c>
      <c r="K81" s="58" t="str">
        <f aca="false">IF($A81="","",INDEX(Inventory_Data!$K$5:$K$104,MATCH($A81,Inventory_Data!$U$5:$U$104,0)))</f>
        <v/>
      </c>
      <c r="L81" s="61" t="str">
        <f aca="false">IF($A81="","",INDEX(Inventory_Data!$J$5:$J$104,MATCH($A81,Inventory_Data!$U$5:$U$104,0)))</f>
        <v/>
      </c>
      <c r="M81" s="58" t="str">
        <f aca="false">IF($A81="","",INDEX(Inventory_Data!$O$5:$O$104,MATCH($A81,Inventory_Data!$U$5:$U$104,0)))</f>
        <v/>
      </c>
      <c r="N81" s="62" t="str">
        <f aca="false">IF($A81="","",INDEX(Inventory_Data!$Q$5:$Q$104,MATCH($A81,Inventory_Data!$U$5:$U$104,0)))</f>
        <v/>
      </c>
      <c r="O81" s="63" t="str">
        <f aca="false">IF($A81="","",INDEX(Inventory_Data!$R$5:$R$104,MATCH($A81,Inventory_Data!$U$5:$U$104,0)))</f>
        <v/>
      </c>
      <c r="P81" s="61" t="str">
        <f aca="false">IF($A81="","",INDEX(Inventory_Data!$S$5:$S$104,MATCH($A81,Inventory_Data!$U$5:$U$104,0)))</f>
        <v/>
      </c>
    </row>
    <row r="82" customFormat="false" ht="15" hidden="false" customHeight="false" outlineLevel="0" collapsed="false">
      <c r="A82" s="57" t="str">
        <f aca="false">IF(ROW()-4&lt;=COUNT(Inventory_Data!$U$5:$U$104),ROW()-4,"")</f>
        <v/>
      </c>
      <c r="B82" s="58" t="str">
        <f aca="false">IF($A82="","",INDEX(Inventory_Data!$B$5:$B$104,MATCH($A82,Inventory_Data!$U$5:$U$104,0)))</f>
        <v/>
      </c>
      <c r="C82" s="58" t="str">
        <f aca="false">IF($A82="","",INDEX(Inventory_Data!$C$5:$C$104,MATCH($A82,Inventory_Data!$U$5:$U$104,0)))</f>
        <v/>
      </c>
      <c r="D82" s="58" t="str">
        <f aca="false">IF($A82="","",INDEX(Inventory_Data!$D$5:$D$104,MATCH($A82,Inventory_Data!$U$5:$U$104,0)))</f>
        <v/>
      </c>
      <c r="E82" s="58" t="str">
        <f aca="false">IF($A82="","",INDEX(Inventory_Data!$E$5:$E$104,MATCH($A82,Inventory_Data!$U$5:$U$104,0)))</f>
        <v/>
      </c>
      <c r="F82" s="58" t="str">
        <f aca="false">IF($A82="","",INDEX(Inventory_Data!$F$5:$F$104,MATCH($A82,Inventory_Data!$U$5:$U$104,0)))</f>
        <v/>
      </c>
      <c r="G82" s="58" t="str">
        <f aca="false">IF($A82="","",INDEX(Inventory_Data!$G$5:$G$104,MATCH($A82,Inventory_Data!$U$5:$U$104,0)))</f>
        <v/>
      </c>
      <c r="H82" s="59" t="str">
        <f aca="false">IF($A82="","",INDEX(Inventory_Data!$I$5:$I$104,MATCH($A82,Inventory_Data!$U$5:$U$104,0)))</f>
        <v/>
      </c>
      <c r="I82" s="58" t="str">
        <f aca="false">IF($A82="","",INDEX(Inventory_Data!$N$5:$N$104,MATCH($A82,Inventory_Data!$U$5:$U$104,0)))</f>
        <v/>
      </c>
      <c r="J82" s="60" t="str">
        <f aca="false">IF($A82="","",INDEX(Inventory_Data!$M$5:$M$104,MATCH($A82,Inventory_Data!$U$5:$U$104,0)))</f>
        <v/>
      </c>
      <c r="K82" s="58" t="str">
        <f aca="false">IF($A82="","",INDEX(Inventory_Data!$K$5:$K$104,MATCH($A82,Inventory_Data!$U$5:$U$104,0)))</f>
        <v/>
      </c>
      <c r="L82" s="61" t="str">
        <f aca="false">IF($A82="","",INDEX(Inventory_Data!$J$5:$J$104,MATCH($A82,Inventory_Data!$U$5:$U$104,0)))</f>
        <v/>
      </c>
      <c r="M82" s="58" t="str">
        <f aca="false">IF($A82="","",INDEX(Inventory_Data!$O$5:$O$104,MATCH($A82,Inventory_Data!$U$5:$U$104,0)))</f>
        <v/>
      </c>
      <c r="N82" s="62" t="str">
        <f aca="false">IF($A82="","",INDEX(Inventory_Data!$Q$5:$Q$104,MATCH($A82,Inventory_Data!$U$5:$U$104,0)))</f>
        <v/>
      </c>
      <c r="O82" s="63" t="str">
        <f aca="false">IF($A82="","",INDEX(Inventory_Data!$R$5:$R$104,MATCH($A82,Inventory_Data!$U$5:$U$104,0)))</f>
        <v/>
      </c>
      <c r="P82" s="61" t="str">
        <f aca="false">IF($A82="","",INDEX(Inventory_Data!$S$5:$S$104,MATCH($A82,Inventory_Data!$U$5:$U$104,0)))</f>
        <v/>
      </c>
    </row>
    <row r="83" customFormat="false" ht="15" hidden="false" customHeight="false" outlineLevel="0" collapsed="false">
      <c r="A83" s="57" t="str">
        <f aca="false">IF(ROW()-4&lt;=COUNT(Inventory_Data!$U$5:$U$104),ROW()-4,"")</f>
        <v/>
      </c>
      <c r="B83" s="58" t="str">
        <f aca="false">IF($A83="","",INDEX(Inventory_Data!$B$5:$B$104,MATCH($A83,Inventory_Data!$U$5:$U$104,0)))</f>
        <v/>
      </c>
      <c r="C83" s="58" t="str">
        <f aca="false">IF($A83="","",INDEX(Inventory_Data!$C$5:$C$104,MATCH($A83,Inventory_Data!$U$5:$U$104,0)))</f>
        <v/>
      </c>
      <c r="D83" s="58" t="str">
        <f aca="false">IF($A83="","",INDEX(Inventory_Data!$D$5:$D$104,MATCH($A83,Inventory_Data!$U$5:$U$104,0)))</f>
        <v/>
      </c>
      <c r="E83" s="58" t="str">
        <f aca="false">IF($A83="","",INDEX(Inventory_Data!$E$5:$E$104,MATCH($A83,Inventory_Data!$U$5:$U$104,0)))</f>
        <v/>
      </c>
      <c r="F83" s="58" t="str">
        <f aca="false">IF($A83="","",INDEX(Inventory_Data!$F$5:$F$104,MATCH($A83,Inventory_Data!$U$5:$U$104,0)))</f>
        <v/>
      </c>
      <c r="G83" s="58" t="str">
        <f aca="false">IF($A83="","",INDEX(Inventory_Data!$G$5:$G$104,MATCH($A83,Inventory_Data!$U$5:$U$104,0)))</f>
        <v/>
      </c>
      <c r="H83" s="59" t="str">
        <f aca="false">IF($A83="","",INDEX(Inventory_Data!$I$5:$I$104,MATCH($A83,Inventory_Data!$U$5:$U$104,0)))</f>
        <v/>
      </c>
      <c r="I83" s="58" t="str">
        <f aca="false">IF($A83="","",INDEX(Inventory_Data!$N$5:$N$104,MATCH($A83,Inventory_Data!$U$5:$U$104,0)))</f>
        <v/>
      </c>
      <c r="J83" s="60" t="str">
        <f aca="false">IF($A83="","",INDEX(Inventory_Data!$M$5:$M$104,MATCH($A83,Inventory_Data!$U$5:$U$104,0)))</f>
        <v/>
      </c>
      <c r="K83" s="58" t="str">
        <f aca="false">IF($A83="","",INDEX(Inventory_Data!$K$5:$K$104,MATCH($A83,Inventory_Data!$U$5:$U$104,0)))</f>
        <v/>
      </c>
      <c r="L83" s="61" t="str">
        <f aca="false">IF($A83="","",INDEX(Inventory_Data!$J$5:$J$104,MATCH($A83,Inventory_Data!$U$5:$U$104,0)))</f>
        <v/>
      </c>
      <c r="M83" s="58" t="str">
        <f aca="false">IF($A83="","",INDEX(Inventory_Data!$O$5:$O$104,MATCH($A83,Inventory_Data!$U$5:$U$104,0)))</f>
        <v/>
      </c>
      <c r="N83" s="62" t="str">
        <f aca="false">IF($A83="","",INDEX(Inventory_Data!$Q$5:$Q$104,MATCH($A83,Inventory_Data!$U$5:$U$104,0)))</f>
        <v/>
      </c>
      <c r="O83" s="63" t="str">
        <f aca="false">IF($A83="","",INDEX(Inventory_Data!$R$5:$R$104,MATCH($A83,Inventory_Data!$U$5:$U$104,0)))</f>
        <v/>
      </c>
      <c r="P83" s="61" t="str">
        <f aca="false">IF($A83="","",INDEX(Inventory_Data!$S$5:$S$104,MATCH($A83,Inventory_Data!$U$5:$U$104,0)))</f>
        <v/>
      </c>
    </row>
    <row r="84" customFormat="false" ht="15" hidden="false" customHeight="false" outlineLevel="0" collapsed="false">
      <c r="A84" s="57" t="str">
        <f aca="false">IF(ROW()-4&lt;=COUNT(Inventory_Data!$U$5:$U$104),ROW()-4,"")</f>
        <v/>
      </c>
      <c r="B84" s="58" t="str">
        <f aca="false">IF($A84="","",INDEX(Inventory_Data!$B$5:$B$104,MATCH($A84,Inventory_Data!$U$5:$U$104,0)))</f>
        <v/>
      </c>
      <c r="C84" s="58" t="str">
        <f aca="false">IF($A84="","",INDEX(Inventory_Data!$C$5:$C$104,MATCH($A84,Inventory_Data!$U$5:$U$104,0)))</f>
        <v/>
      </c>
      <c r="D84" s="58" t="str">
        <f aca="false">IF($A84="","",INDEX(Inventory_Data!$D$5:$D$104,MATCH($A84,Inventory_Data!$U$5:$U$104,0)))</f>
        <v/>
      </c>
      <c r="E84" s="58" t="str">
        <f aca="false">IF($A84="","",INDEX(Inventory_Data!$E$5:$E$104,MATCH($A84,Inventory_Data!$U$5:$U$104,0)))</f>
        <v/>
      </c>
      <c r="F84" s="58" t="str">
        <f aca="false">IF($A84="","",INDEX(Inventory_Data!$F$5:$F$104,MATCH($A84,Inventory_Data!$U$5:$U$104,0)))</f>
        <v/>
      </c>
      <c r="G84" s="58" t="str">
        <f aca="false">IF($A84="","",INDEX(Inventory_Data!$G$5:$G$104,MATCH($A84,Inventory_Data!$U$5:$U$104,0)))</f>
        <v/>
      </c>
      <c r="H84" s="59" t="str">
        <f aca="false">IF($A84="","",INDEX(Inventory_Data!$I$5:$I$104,MATCH($A84,Inventory_Data!$U$5:$U$104,0)))</f>
        <v/>
      </c>
      <c r="I84" s="58" t="str">
        <f aca="false">IF($A84="","",INDEX(Inventory_Data!$N$5:$N$104,MATCH($A84,Inventory_Data!$U$5:$U$104,0)))</f>
        <v/>
      </c>
      <c r="J84" s="60" t="str">
        <f aca="false">IF($A84="","",INDEX(Inventory_Data!$M$5:$M$104,MATCH($A84,Inventory_Data!$U$5:$U$104,0)))</f>
        <v/>
      </c>
      <c r="K84" s="58" t="str">
        <f aca="false">IF($A84="","",INDEX(Inventory_Data!$K$5:$K$104,MATCH($A84,Inventory_Data!$U$5:$U$104,0)))</f>
        <v/>
      </c>
      <c r="L84" s="61" t="str">
        <f aca="false">IF($A84="","",INDEX(Inventory_Data!$J$5:$J$104,MATCH($A84,Inventory_Data!$U$5:$U$104,0)))</f>
        <v/>
      </c>
      <c r="M84" s="58" t="str">
        <f aca="false">IF($A84="","",INDEX(Inventory_Data!$O$5:$O$104,MATCH($A84,Inventory_Data!$U$5:$U$104,0)))</f>
        <v/>
      </c>
      <c r="N84" s="62" t="str">
        <f aca="false">IF($A84="","",INDEX(Inventory_Data!$Q$5:$Q$104,MATCH($A84,Inventory_Data!$U$5:$U$104,0)))</f>
        <v/>
      </c>
      <c r="O84" s="63" t="str">
        <f aca="false">IF($A84="","",INDEX(Inventory_Data!$R$5:$R$104,MATCH($A84,Inventory_Data!$U$5:$U$104,0)))</f>
        <v/>
      </c>
      <c r="P84" s="61" t="str">
        <f aca="false">IF($A84="","",INDEX(Inventory_Data!$S$5:$S$104,MATCH($A84,Inventory_Data!$U$5:$U$104,0)))</f>
        <v/>
      </c>
    </row>
    <row r="85" customFormat="false" ht="15" hidden="false" customHeight="false" outlineLevel="0" collapsed="false">
      <c r="A85" s="57" t="str">
        <f aca="false">IF(ROW()-4&lt;=COUNT(Inventory_Data!$U$5:$U$104),ROW()-4,"")</f>
        <v/>
      </c>
      <c r="B85" s="58" t="str">
        <f aca="false">IF($A85="","",INDEX(Inventory_Data!$B$5:$B$104,MATCH($A85,Inventory_Data!$U$5:$U$104,0)))</f>
        <v/>
      </c>
      <c r="C85" s="58" t="str">
        <f aca="false">IF($A85="","",INDEX(Inventory_Data!$C$5:$C$104,MATCH($A85,Inventory_Data!$U$5:$U$104,0)))</f>
        <v/>
      </c>
      <c r="D85" s="58" t="str">
        <f aca="false">IF($A85="","",INDEX(Inventory_Data!$D$5:$D$104,MATCH($A85,Inventory_Data!$U$5:$U$104,0)))</f>
        <v/>
      </c>
      <c r="E85" s="58" t="str">
        <f aca="false">IF($A85="","",INDEX(Inventory_Data!$E$5:$E$104,MATCH($A85,Inventory_Data!$U$5:$U$104,0)))</f>
        <v/>
      </c>
      <c r="F85" s="58" t="str">
        <f aca="false">IF($A85="","",INDEX(Inventory_Data!$F$5:$F$104,MATCH($A85,Inventory_Data!$U$5:$U$104,0)))</f>
        <v/>
      </c>
      <c r="G85" s="58" t="str">
        <f aca="false">IF($A85="","",INDEX(Inventory_Data!$G$5:$G$104,MATCH($A85,Inventory_Data!$U$5:$U$104,0)))</f>
        <v/>
      </c>
      <c r="H85" s="59" t="str">
        <f aca="false">IF($A85="","",INDEX(Inventory_Data!$I$5:$I$104,MATCH($A85,Inventory_Data!$U$5:$U$104,0)))</f>
        <v/>
      </c>
      <c r="I85" s="58" t="str">
        <f aca="false">IF($A85="","",INDEX(Inventory_Data!$N$5:$N$104,MATCH($A85,Inventory_Data!$U$5:$U$104,0)))</f>
        <v/>
      </c>
      <c r="J85" s="60" t="str">
        <f aca="false">IF($A85="","",INDEX(Inventory_Data!$M$5:$M$104,MATCH($A85,Inventory_Data!$U$5:$U$104,0)))</f>
        <v/>
      </c>
      <c r="K85" s="58" t="str">
        <f aca="false">IF($A85="","",INDEX(Inventory_Data!$K$5:$K$104,MATCH($A85,Inventory_Data!$U$5:$U$104,0)))</f>
        <v/>
      </c>
      <c r="L85" s="61" t="str">
        <f aca="false">IF($A85="","",INDEX(Inventory_Data!$J$5:$J$104,MATCH($A85,Inventory_Data!$U$5:$U$104,0)))</f>
        <v/>
      </c>
      <c r="M85" s="58" t="str">
        <f aca="false">IF($A85="","",INDEX(Inventory_Data!$O$5:$O$104,MATCH($A85,Inventory_Data!$U$5:$U$104,0)))</f>
        <v/>
      </c>
      <c r="N85" s="62" t="str">
        <f aca="false">IF($A85="","",INDEX(Inventory_Data!$Q$5:$Q$104,MATCH($A85,Inventory_Data!$U$5:$U$104,0)))</f>
        <v/>
      </c>
      <c r="O85" s="63" t="str">
        <f aca="false">IF($A85="","",INDEX(Inventory_Data!$R$5:$R$104,MATCH($A85,Inventory_Data!$U$5:$U$104,0)))</f>
        <v/>
      </c>
      <c r="P85" s="61" t="str">
        <f aca="false">IF($A85="","",INDEX(Inventory_Data!$S$5:$S$104,MATCH($A85,Inventory_Data!$U$5:$U$104,0)))</f>
        <v/>
      </c>
    </row>
    <row r="86" customFormat="false" ht="15" hidden="false" customHeight="false" outlineLevel="0" collapsed="false">
      <c r="A86" s="57" t="str">
        <f aca="false">IF(ROW()-4&lt;=COUNT(Inventory_Data!$U$5:$U$104),ROW()-4,"")</f>
        <v/>
      </c>
      <c r="B86" s="58" t="str">
        <f aca="false">IF($A86="","",INDEX(Inventory_Data!$B$5:$B$104,MATCH($A86,Inventory_Data!$U$5:$U$104,0)))</f>
        <v/>
      </c>
      <c r="C86" s="58" t="str">
        <f aca="false">IF($A86="","",INDEX(Inventory_Data!$C$5:$C$104,MATCH($A86,Inventory_Data!$U$5:$U$104,0)))</f>
        <v/>
      </c>
      <c r="D86" s="58" t="str">
        <f aca="false">IF($A86="","",INDEX(Inventory_Data!$D$5:$D$104,MATCH($A86,Inventory_Data!$U$5:$U$104,0)))</f>
        <v/>
      </c>
      <c r="E86" s="58" t="str">
        <f aca="false">IF($A86="","",INDEX(Inventory_Data!$E$5:$E$104,MATCH($A86,Inventory_Data!$U$5:$U$104,0)))</f>
        <v/>
      </c>
      <c r="F86" s="58" t="str">
        <f aca="false">IF($A86="","",INDEX(Inventory_Data!$F$5:$F$104,MATCH($A86,Inventory_Data!$U$5:$U$104,0)))</f>
        <v/>
      </c>
      <c r="G86" s="58" t="str">
        <f aca="false">IF($A86="","",INDEX(Inventory_Data!$G$5:$G$104,MATCH($A86,Inventory_Data!$U$5:$U$104,0)))</f>
        <v/>
      </c>
      <c r="H86" s="59" t="str">
        <f aca="false">IF($A86="","",INDEX(Inventory_Data!$I$5:$I$104,MATCH($A86,Inventory_Data!$U$5:$U$104,0)))</f>
        <v/>
      </c>
      <c r="I86" s="58" t="str">
        <f aca="false">IF($A86="","",INDEX(Inventory_Data!$N$5:$N$104,MATCH($A86,Inventory_Data!$U$5:$U$104,0)))</f>
        <v/>
      </c>
      <c r="J86" s="60" t="str">
        <f aca="false">IF($A86="","",INDEX(Inventory_Data!$M$5:$M$104,MATCH($A86,Inventory_Data!$U$5:$U$104,0)))</f>
        <v/>
      </c>
      <c r="K86" s="58" t="str">
        <f aca="false">IF($A86="","",INDEX(Inventory_Data!$K$5:$K$104,MATCH($A86,Inventory_Data!$U$5:$U$104,0)))</f>
        <v/>
      </c>
      <c r="L86" s="61" t="str">
        <f aca="false">IF($A86="","",INDEX(Inventory_Data!$J$5:$J$104,MATCH($A86,Inventory_Data!$U$5:$U$104,0)))</f>
        <v/>
      </c>
      <c r="M86" s="58" t="str">
        <f aca="false">IF($A86="","",INDEX(Inventory_Data!$O$5:$O$104,MATCH($A86,Inventory_Data!$U$5:$U$104,0)))</f>
        <v/>
      </c>
      <c r="N86" s="62" t="str">
        <f aca="false">IF($A86="","",INDEX(Inventory_Data!$Q$5:$Q$104,MATCH($A86,Inventory_Data!$U$5:$U$104,0)))</f>
        <v/>
      </c>
      <c r="O86" s="63" t="str">
        <f aca="false">IF($A86="","",INDEX(Inventory_Data!$R$5:$R$104,MATCH($A86,Inventory_Data!$U$5:$U$104,0)))</f>
        <v/>
      </c>
      <c r="P86" s="61" t="str">
        <f aca="false">IF($A86="","",INDEX(Inventory_Data!$S$5:$S$104,MATCH($A86,Inventory_Data!$U$5:$U$104,0)))</f>
        <v/>
      </c>
    </row>
    <row r="87" customFormat="false" ht="15" hidden="false" customHeight="false" outlineLevel="0" collapsed="false">
      <c r="A87" s="57" t="str">
        <f aca="false">IF(ROW()-4&lt;=COUNT(Inventory_Data!$U$5:$U$104),ROW()-4,"")</f>
        <v/>
      </c>
      <c r="B87" s="58" t="str">
        <f aca="false">IF($A87="","",INDEX(Inventory_Data!$B$5:$B$104,MATCH($A87,Inventory_Data!$U$5:$U$104,0)))</f>
        <v/>
      </c>
      <c r="C87" s="58" t="str">
        <f aca="false">IF($A87="","",INDEX(Inventory_Data!$C$5:$C$104,MATCH($A87,Inventory_Data!$U$5:$U$104,0)))</f>
        <v/>
      </c>
      <c r="D87" s="58" t="str">
        <f aca="false">IF($A87="","",INDEX(Inventory_Data!$D$5:$D$104,MATCH($A87,Inventory_Data!$U$5:$U$104,0)))</f>
        <v/>
      </c>
      <c r="E87" s="58" t="str">
        <f aca="false">IF($A87="","",INDEX(Inventory_Data!$E$5:$E$104,MATCH($A87,Inventory_Data!$U$5:$U$104,0)))</f>
        <v/>
      </c>
      <c r="F87" s="58" t="str">
        <f aca="false">IF($A87="","",INDEX(Inventory_Data!$F$5:$F$104,MATCH($A87,Inventory_Data!$U$5:$U$104,0)))</f>
        <v/>
      </c>
      <c r="G87" s="58" t="str">
        <f aca="false">IF($A87="","",INDEX(Inventory_Data!$G$5:$G$104,MATCH($A87,Inventory_Data!$U$5:$U$104,0)))</f>
        <v/>
      </c>
      <c r="H87" s="59" t="str">
        <f aca="false">IF($A87="","",INDEX(Inventory_Data!$I$5:$I$104,MATCH($A87,Inventory_Data!$U$5:$U$104,0)))</f>
        <v/>
      </c>
      <c r="I87" s="58" t="str">
        <f aca="false">IF($A87="","",INDEX(Inventory_Data!$N$5:$N$104,MATCH($A87,Inventory_Data!$U$5:$U$104,0)))</f>
        <v/>
      </c>
      <c r="J87" s="60" t="str">
        <f aca="false">IF($A87="","",INDEX(Inventory_Data!$M$5:$M$104,MATCH($A87,Inventory_Data!$U$5:$U$104,0)))</f>
        <v/>
      </c>
      <c r="K87" s="58" t="str">
        <f aca="false">IF($A87="","",INDEX(Inventory_Data!$K$5:$K$104,MATCH($A87,Inventory_Data!$U$5:$U$104,0)))</f>
        <v/>
      </c>
      <c r="L87" s="61" t="str">
        <f aca="false">IF($A87="","",INDEX(Inventory_Data!$J$5:$J$104,MATCH($A87,Inventory_Data!$U$5:$U$104,0)))</f>
        <v/>
      </c>
      <c r="M87" s="58" t="str">
        <f aca="false">IF($A87="","",INDEX(Inventory_Data!$O$5:$O$104,MATCH($A87,Inventory_Data!$U$5:$U$104,0)))</f>
        <v/>
      </c>
      <c r="N87" s="62" t="str">
        <f aca="false">IF($A87="","",INDEX(Inventory_Data!$Q$5:$Q$104,MATCH($A87,Inventory_Data!$U$5:$U$104,0)))</f>
        <v/>
      </c>
      <c r="O87" s="63" t="str">
        <f aca="false">IF($A87="","",INDEX(Inventory_Data!$R$5:$R$104,MATCH($A87,Inventory_Data!$U$5:$U$104,0)))</f>
        <v/>
      </c>
      <c r="P87" s="61" t="str">
        <f aca="false">IF($A87="","",INDEX(Inventory_Data!$S$5:$S$104,MATCH($A87,Inventory_Data!$U$5:$U$104,0)))</f>
        <v/>
      </c>
    </row>
    <row r="88" customFormat="false" ht="15" hidden="false" customHeight="false" outlineLevel="0" collapsed="false">
      <c r="A88" s="57" t="str">
        <f aca="false">IF(ROW()-4&lt;=COUNT(Inventory_Data!$U$5:$U$104),ROW()-4,"")</f>
        <v/>
      </c>
      <c r="B88" s="58" t="str">
        <f aca="false">IF($A88="","",INDEX(Inventory_Data!$B$5:$B$104,MATCH($A88,Inventory_Data!$U$5:$U$104,0)))</f>
        <v/>
      </c>
      <c r="C88" s="58" t="str">
        <f aca="false">IF($A88="","",INDEX(Inventory_Data!$C$5:$C$104,MATCH($A88,Inventory_Data!$U$5:$U$104,0)))</f>
        <v/>
      </c>
      <c r="D88" s="58" t="str">
        <f aca="false">IF($A88="","",INDEX(Inventory_Data!$D$5:$D$104,MATCH($A88,Inventory_Data!$U$5:$U$104,0)))</f>
        <v/>
      </c>
      <c r="E88" s="58" t="str">
        <f aca="false">IF($A88="","",INDEX(Inventory_Data!$E$5:$E$104,MATCH($A88,Inventory_Data!$U$5:$U$104,0)))</f>
        <v/>
      </c>
      <c r="F88" s="58" t="str">
        <f aca="false">IF($A88="","",INDEX(Inventory_Data!$F$5:$F$104,MATCH($A88,Inventory_Data!$U$5:$U$104,0)))</f>
        <v/>
      </c>
      <c r="G88" s="58" t="str">
        <f aca="false">IF($A88="","",INDEX(Inventory_Data!$G$5:$G$104,MATCH($A88,Inventory_Data!$U$5:$U$104,0)))</f>
        <v/>
      </c>
      <c r="H88" s="59" t="str">
        <f aca="false">IF($A88="","",INDEX(Inventory_Data!$I$5:$I$104,MATCH($A88,Inventory_Data!$U$5:$U$104,0)))</f>
        <v/>
      </c>
      <c r="I88" s="58" t="str">
        <f aca="false">IF($A88="","",INDEX(Inventory_Data!$N$5:$N$104,MATCH($A88,Inventory_Data!$U$5:$U$104,0)))</f>
        <v/>
      </c>
      <c r="J88" s="60" t="str">
        <f aca="false">IF($A88="","",INDEX(Inventory_Data!$M$5:$M$104,MATCH($A88,Inventory_Data!$U$5:$U$104,0)))</f>
        <v/>
      </c>
      <c r="K88" s="58" t="str">
        <f aca="false">IF($A88="","",INDEX(Inventory_Data!$K$5:$K$104,MATCH($A88,Inventory_Data!$U$5:$U$104,0)))</f>
        <v/>
      </c>
      <c r="L88" s="61" t="str">
        <f aca="false">IF($A88="","",INDEX(Inventory_Data!$J$5:$J$104,MATCH($A88,Inventory_Data!$U$5:$U$104,0)))</f>
        <v/>
      </c>
      <c r="M88" s="58" t="str">
        <f aca="false">IF($A88="","",INDEX(Inventory_Data!$O$5:$O$104,MATCH($A88,Inventory_Data!$U$5:$U$104,0)))</f>
        <v/>
      </c>
      <c r="N88" s="62" t="str">
        <f aca="false">IF($A88="","",INDEX(Inventory_Data!$Q$5:$Q$104,MATCH($A88,Inventory_Data!$U$5:$U$104,0)))</f>
        <v/>
      </c>
      <c r="O88" s="63" t="str">
        <f aca="false">IF($A88="","",INDEX(Inventory_Data!$R$5:$R$104,MATCH($A88,Inventory_Data!$U$5:$U$104,0)))</f>
        <v/>
      </c>
      <c r="P88" s="61" t="str">
        <f aca="false">IF($A88="","",INDEX(Inventory_Data!$S$5:$S$104,MATCH($A88,Inventory_Data!$U$5:$U$104,0)))</f>
        <v/>
      </c>
    </row>
    <row r="89" customFormat="false" ht="15" hidden="false" customHeight="false" outlineLevel="0" collapsed="false">
      <c r="A89" s="57" t="str">
        <f aca="false">IF(ROW()-4&lt;=COUNT(Inventory_Data!$U$5:$U$104),ROW()-4,"")</f>
        <v/>
      </c>
      <c r="B89" s="58" t="str">
        <f aca="false">IF($A89="","",INDEX(Inventory_Data!$B$5:$B$104,MATCH($A89,Inventory_Data!$U$5:$U$104,0)))</f>
        <v/>
      </c>
      <c r="C89" s="58" t="str">
        <f aca="false">IF($A89="","",INDEX(Inventory_Data!$C$5:$C$104,MATCH($A89,Inventory_Data!$U$5:$U$104,0)))</f>
        <v/>
      </c>
      <c r="D89" s="58" t="str">
        <f aca="false">IF($A89="","",INDEX(Inventory_Data!$D$5:$D$104,MATCH($A89,Inventory_Data!$U$5:$U$104,0)))</f>
        <v/>
      </c>
      <c r="E89" s="58" t="str">
        <f aca="false">IF($A89="","",INDEX(Inventory_Data!$E$5:$E$104,MATCH($A89,Inventory_Data!$U$5:$U$104,0)))</f>
        <v/>
      </c>
      <c r="F89" s="58" t="str">
        <f aca="false">IF($A89="","",INDEX(Inventory_Data!$F$5:$F$104,MATCH($A89,Inventory_Data!$U$5:$U$104,0)))</f>
        <v/>
      </c>
      <c r="G89" s="58" t="str">
        <f aca="false">IF($A89="","",INDEX(Inventory_Data!$G$5:$G$104,MATCH($A89,Inventory_Data!$U$5:$U$104,0)))</f>
        <v/>
      </c>
      <c r="H89" s="59" t="str">
        <f aca="false">IF($A89="","",INDEX(Inventory_Data!$I$5:$I$104,MATCH($A89,Inventory_Data!$U$5:$U$104,0)))</f>
        <v/>
      </c>
      <c r="I89" s="58" t="str">
        <f aca="false">IF($A89="","",INDEX(Inventory_Data!$N$5:$N$104,MATCH($A89,Inventory_Data!$U$5:$U$104,0)))</f>
        <v/>
      </c>
      <c r="J89" s="60" t="str">
        <f aca="false">IF($A89="","",INDEX(Inventory_Data!$M$5:$M$104,MATCH($A89,Inventory_Data!$U$5:$U$104,0)))</f>
        <v/>
      </c>
      <c r="K89" s="58" t="str">
        <f aca="false">IF($A89="","",INDEX(Inventory_Data!$K$5:$K$104,MATCH($A89,Inventory_Data!$U$5:$U$104,0)))</f>
        <v/>
      </c>
      <c r="L89" s="61" t="str">
        <f aca="false">IF($A89="","",INDEX(Inventory_Data!$J$5:$J$104,MATCH($A89,Inventory_Data!$U$5:$U$104,0)))</f>
        <v/>
      </c>
      <c r="M89" s="58" t="str">
        <f aca="false">IF($A89="","",INDEX(Inventory_Data!$O$5:$O$104,MATCH($A89,Inventory_Data!$U$5:$U$104,0)))</f>
        <v/>
      </c>
      <c r="N89" s="62" t="str">
        <f aca="false">IF($A89="","",INDEX(Inventory_Data!$Q$5:$Q$104,MATCH($A89,Inventory_Data!$U$5:$U$104,0)))</f>
        <v/>
      </c>
      <c r="O89" s="63" t="str">
        <f aca="false">IF($A89="","",INDEX(Inventory_Data!$R$5:$R$104,MATCH($A89,Inventory_Data!$U$5:$U$104,0)))</f>
        <v/>
      </c>
      <c r="P89" s="61" t="str">
        <f aca="false">IF($A89="","",INDEX(Inventory_Data!$S$5:$S$104,MATCH($A89,Inventory_Data!$U$5:$U$104,0)))</f>
        <v/>
      </c>
    </row>
    <row r="90" customFormat="false" ht="15" hidden="false" customHeight="false" outlineLevel="0" collapsed="false">
      <c r="A90" s="57" t="str">
        <f aca="false">IF(ROW()-4&lt;=COUNT(Inventory_Data!$U$5:$U$104),ROW()-4,"")</f>
        <v/>
      </c>
      <c r="B90" s="58" t="str">
        <f aca="false">IF($A90="","",INDEX(Inventory_Data!$B$5:$B$104,MATCH($A90,Inventory_Data!$U$5:$U$104,0)))</f>
        <v/>
      </c>
      <c r="C90" s="58" t="str">
        <f aca="false">IF($A90="","",INDEX(Inventory_Data!$C$5:$C$104,MATCH($A90,Inventory_Data!$U$5:$U$104,0)))</f>
        <v/>
      </c>
      <c r="D90" s="58" t="str">
        <f aca="false">IF($A90="","",INDEX(Inventory_Data!$D$5:$D$104,MATCH($A90,Inventory_Data!$U$5:$U$104,0)))</f>
        <v/>
      </c>
      <c r="E90" s="58" t="str">
        <f aca="false">IF($A90="","",INDEX(Inventory_Data!$E$5:$E$104,MATCH($A90,Inventory_Data!$U$5:$U$104,0)))</f>
        <v/>
      </c>
      <c r="F90" s="58" t="str">
        <f aca="false">IF($A90="","",INDEX(Inventory_Data!$F$5:$F$104,MATCH($A90,Inventory_Data!$U$5:$U$104,0)))</f>
        <v/>
      </c>
      <c r="G90" s="58" t="str">
        <f aca="false">IF($A90="","",INDEX(Inventory_Data!$G$5:$G$104,MATCH($A90,Inventory_Data!$U$5:$U$104,0)))</f>
        <v/>
      </c>
      <c r="H90" s="59" t="str">
        <f aca="false">IF($A90="","",INDEX(Inventory_Data!$I$5:$I$104,MATCH($A90,Inventory_Data!$U$5:$U$104,0)))</f>
        <v/>
      </c>
      <c r="I90" s="58" t="str">
        <f aca="false">IF($A90="","",INDEX(Inventory_Data!$N$5:$N$104,MATCH($A90,Inventory_Data!$U$5:$U$104,0)))</f>
        <v/>
      </c>
      <c r="J90" s="60" t="str">
        <f aca="false">IF($A90="","",INDEX(Inventory_Data!$M$5:$M$104,MATCH($A90,Inventory_Data!$U$5:$U$104,0)))</f>
        <v/>
      </c>
      <c r="K90" s="58" t="str">
        <f aca="false">IF($A90="","",INDEX(Inventory_Data!$K$5:$K$104,MATCH($A90,Inventory_Data!$U$5:$U$104,0)))</f>
        <v/>
      </c>
      <c r="L90" s="61" t="str">
        <f aca="false">IF($A90="","",INDEX(Inventory_Data!$J$5:$J$104,MATCH($A90,Inventory_Data!$U$5:$U$104,0)))</f>
        <v/>
      </c>
      <c r="M90" s="58" t="str">
        <f aca="false">IF($A90="","",INDEX(Inventory_Data!$O$5:$O$104,MATCH($A90,Inventory_Data!$U$5:$U$104,0)))</f>
        <v/>
      </c>
      <c r="N90" s="62" t="str">
        <f aca="false">IF($A90="","",INDEX(Inventory_Data!$Q$5:$Q$104,MATCH($A90,Inventory_Data!$U$5:$U$104,0)))</f>
        <v/>
      </c>
      <c r="O90" s="63" t="str">
        <f aca="false">IF($A90="","",INDEX(Inventory_Data!$R$5:$R$104,MATCH($A90,Inventory_Data!$U$5:$U$104,0)))</f>
        <v/>
      </c>
      <c r="P90" s="61" t="str">
        <f aca="false">IF($A90="","",INDEX(Inventory_Data!$S$5:$S$104,MATCH($A90,Inventory_Data!$U$5:$U$104,0)))</f>
        <v/>
      </c>
    </row>
    <row r="91" customFormat="false" ht="15" hidden="false" customHeight="false" outlineLevel="0" collapsed="false">
      <c r="A91" s="57" t="str">
        <f aca="false">IF(ROW()-4&lt;=COUNT(Inventory_Data!$U$5:$U$104),ROW()-4,"")</f>
        <v/>
      </c>
      <c r="B91" s="58" t="str">
        <f aca="false">IF($A91="","",INDEX(Inventory_Data!$B$5:$B$104,MATCH($A91,Inventory_Data!$U$5:$U$104,0)))</f>
        <v/>
      </c>
      <c r="C91" s="58" t="str">
        <f aca="false">IF($A91="","",INDEX(Inventory_Data!$C$5:$C$104,MATCH($A91,Inventory_Data!$U$5:$U$104,0)))</f>
        <v/>
      </c>
      <c r="D91" s="58" t="str">
        <f aca="false">IF($A91="","",INDEX(Inventory_Data!$D$5:$D$104,MATCH($A91,Inventory_Data!$U$5:$U$104,0)))</f>
        <v/>
      </c>
      <c r="E91" s="58" t="str">
        <f aca="false">IF($A91="","",INDEX(Inventory_Data!$E$5:$E$104,MATCH($A91,Inventory_Data!$U$5:$U$104,0)))</f>
        <v/>
      </c>
      <c r="F91" s="58" t="str">
        <f aca="false">IF($A91="","",INDEX(Inventory_Data!$F$5:$F$104,MATCH($A91,Inventory_Data!$U$5:$U$104,0)))</f>
        <v/>
      </c>
      <c r="G91" s="58" t="str">
        <f aca="false">IF($A91="","",INDEX(Inventory_Data!$G$5:$G$104,MATCH($A91,Inventory_Data!$U$5:$U$104,0)))</f>
        <v/>
      </c>
      <c r="H91" s="59" t="str">
        <f aca="false">IF($A91="","",INDEX(Inventory_Data!$I$5:$I$104,MATCH($A91,Inventory_Data!$U$5:$U$104,0)))</f>
        <v/>
      </c>
      <c r="I91" s="58" t="str">
        <f aca="false">IF($A91="","",INDEX(Inventory_Data!$N$5:$N$104,MATCH($A91,Inventory_Data!$U$5:$U$104,0)))</f>
        <v/>
      </c>
      <c r="J91" s="60" t="str">
        <f aca="false">IF($A91="","",INDEX(Inventory_Data!$M$5:$M$104,MATCH($A91,Inventory_Data!$U$5:$U$104,0)))</f>
        <v/>
      </c>
      <c r="K91" s="58" t="str">
        <f aca="false">IF($A91="","",INDEX(Inventory_Data!$K$5:$K$104,MATCH($A91,Inventory_Data!$U$5:$U$104,0)))</f>
        <v/>
      </c>
      <c r="L91" s="61" t="str">
        <f aca="false">IF($A91="","",INDEX(Inventory_Data!$J$5:$J$104,MATCH($A91,Inventory_Data!$U$5:$U$104,0)))</f>
        <v/>
      </c>
      <c r="M91" s="58" t="str">
        <f aca="false">IF($A91="","",INDEX(Inventory_Data!$O$5:$O$104,MATCH($A91,Inventory_Data!$U$5:$U$104,0)))</f>
        <v/>
      </c>
      <c r="N91" s="62" t="str">
        <f aca="false">IF($A91="","",INDEX(Inventory_Data!$Q$5:$Q$104,MATCH($A91,Inventory_Data!$U$5:$U$104,0)))</f>
        <v/>
      </c>
      <c r="O91" s="63" t="str">
        <f aca="false">IF($A91="","",INDEX(Inventory_Data!$R$5:$R$104,MATCH($A91,Inventory_Data!$U$5:$U$104,0)))</f>
        <v/>
      </c>
      <c r="P91" s="61" t="str">
        <f aca="false">IF($A91="","",INDEX(Inventory_Data!$S$5:$S$104,MATCH($A91,Inventory_Data!$U$5:$U$104,0)))</f>
        <v/>
      </c>
    </row>
    <row r="92" customFormat="false" ht="15" hidden="false" customHeight="false" outlineLevel="0" collapsed="false">
      <c r="A92" s="57" t="str">
        <f aca="false">IF(ROW()-4&lt;=COUNT(Inventory_Data!$U$5:$U$104),ROW()-4,"")</f>
        <v/>
      </c>
      <c r="B92" s="58" t="str">
        <f aca="false">IF($A92="","",INDEX(Inventory_Data!$B$5:$B$104,MATCH($A92,Inventory_Data!$U$5:$U$104,0)))</f>
        <v/>
      </c>
      <c r="C92" s="58" t="str">
        <f aca="false">IF($A92="","",INDEX(Inventory_Data!$C$5:$C$104,MATCH($A92,Inventory_Data!$U$5:$U$104,0)))</f>
        <v/>
      </c>
      <c r="D92" s="58" t="str">
        <f aca="false">IF($A92="","",INDEX(Inventory_Data!$D$5:$D$104,MATCH($A92,Inventory_Data!$U$5:$U$104,0)))</f>
        <v/>
      </c>
      <c r="E92" s="58" t="str">
        <f aca="false">IF($A92="","",INDEX(Inventory_Data!$E$5:$E$104,MATCH($A92,Inventory_Data!$U$5:$U$104,0)))</f>
        <v/>
      </c>
      <c r="F92" s="58" t="str">
        <f aca="false">IF($A92="","",INDEX(Inventory_Data!$F$5:$F$104,MATCH($A92,Inventory_Data!$U$5:$U$104,0)))</f>
        <v/>
      </c>
      <c r="G92" s="58" t="str">
        <f aca="false">IF($A92="","",INDEX(Inventory_Data!$G$5:$G$104,MATCH($A92,Inventory_Data!$U$5:$U$104,0)))</f>
        <v/>
      </c>
      <c r="H92" s="59" t="str">
        <f aca="false">IF($A92="","",INDEX(Inventory_Data!$I$5:$I$104,MATCH($A92,Inventory_Data!$U$5:$U$104,0)))</f>
        <v/>
      </c>
      <c r="I92" s="58" t="str">
        <f aca="false">IF($A92="","",INDEX(Inventory_Data!$N$5:$N$104,MATCH($A92,Inventory_Data!$U$5:$U$104,0)))</f>
        <v/>
      </c>
      <c r="J92" s="60" t="str">
        <f aca="false">IF($A92="","",INDEX(Inventory_Data!$M$5:$M$104,MATCH($A92,Inventory_Data!$U$5:$U$104,0)))</f>
        <v/>
      </c>
      <c r="K92" s="58" t="str">
        <f aca="false">IF($A92="","",INDEX(Inventory_Data!$K$5:$K$104,MATCH($A92,Inventory_Data!$U$5:$U$104,0)))</f>
        <v/>
      </c>
      <c r="L92" s="61" t="str">
        <f aca="false">IF($A92="","",INDEX(Inventory_Data!$J$5:$J$104,MATCH($A92,Inventory_Data!$U$5:$U$104,0)))</f>
        <v/>
      </c>
      <c r="M92" s="58" t="str">
        <f aca="false">IF($A92="","",INDEX(Inventory_Data!$O$5:$O$104,MATCH($A92,Inventory_Data!$U$5:$U$104,0)))</f>
        <v/>
      </c>
      <c r="N92" s="62" t="str">
        <f aca="false">IF($A92="","",INDEX(Inventory_Data!$Q$5:$Q$104,MATCH($A92,Inventory_Data!$U$5:$U$104,0)))</f>
        <v/>
      </c>
      <c r="O92" s="63" t="str">
        <f aca="false">IF($A92="","",INDEX(Inventory_Data!$R$5:$R$104,MATCH($A92,Inventory_Data!$U$5:$U$104,0)))</f>
        <v/>
      </c>
      <c r="P92" s="61" t="str">
        <f aca="false">IF($A92="","",INDEX(Inventory_Data!$S$5:$S$104,MATCH($A92,Inventory_Data!$U$5:$U$104,0)))</f>
        <v/>
      </c>
    </row>
    <row r="93" customFormat="false" ht="15" hidden="false" customHeight="false" outlineLevel="0" collapsed="false">
      <c r="A93" s="57" t="str">
        <f aca="false">IF(ROW()-4&lt;=COUNT(Inventory_Data!$U$5:$U$104),ROW()-4,"")</f>
        <v/>
      </c>
      <c r="B93" s="58" t="str">
        <f aca="false">IF($A93="","",INDEX(Inventory_Data!$B$5:$B$104,MATCH($A93,Inventory_Data!$U$5:$U$104,0)))</f>
        <v/>
      </c>
      <c r="C93" s="58" t="str">
        <f aca="false">IF($A93="","",INDEX(Inventory_Data!$C$5:$C$104,MATCH($A93,Inventory_Data!$U$5:$U$104,0)))</f>
        <v/>
      </c>
      <c r="D93" s="58" t="str">
        <f aca="false">IF($A93="","",INDEX(Inventory_Data!$D$5:$D$104,MATCH($A93,Inventory_Data!$U$5:$U$104,0)))</f>
        <v/>
      </c>
      <c r="E93" s="58" t="str">
        <f aca="false">IF($A93="","",INDEX(Inventory_Data!$E$5:$E$104,MATCH($A93,Inventory_Data!$U$5:$U$104,0)))</f>
        <v/>
      </c>
      <c r="F93" s="58" t="str">
        <f aca="false">IF($A93="","",INDEX(Inventory_Data!$F$5:$F$104,MATCH($A93,Inventory_Data!$U$5:$U$104,0)))</f>
        <v/>
      </c>
      <c r="G93" s="58" t="str">
        <f aca="false">IF($A93="","",INDEX(Inventory_Data!$G$5:$G$104,MATCH($A93,Inventory_Data!$U$5:$U$104,0)))</f>
        <v/>
      </c>
      <c r="H93" s="59" t="str">
        <f aca="false">IF($A93="","",INDEX(Inventory_Data!$I$5:$I$104,MATCH($A93,Inventory_Data!$U$5:$U$104,0)))</f>
        <v/>
      </c>
      <c r="I93" s="58" t="str">
        <f aca="false">IF($A93="","",INDEX(Inventory_Data!$N$5:$N$104,MATCH($A93,Inventory_Data!$U$5:$U$104,0)))</f>
        <v/>
      </c>
      <c r="J93" s="60" t="str">
        <f aca="false">IF($A93="","",INDEX(Inventory_Data!$M$5:$M$104,MATCH($A93,Inventory_Data!$U$5:$U$104,0)))</f>
        <v/>
      </c>
      <c r="K93" s="58" t="str">
        <f aca="false">IF($A93="","",INDEX(Inventory_Data!$K$5:$K$104,MATCH($A93,Inventory_Data!$U$5:$U$104,0)))</f>
        <v/>
      </c>
      <c r="L93" s="61" t="str">
        <f aca="false">IF($A93="","",INDEX(Inventory_Data!$J$5:$J$104,MATCH($A93,Inventory_Data!$U$5:$U$104,0)))</f>
        <v/>
      </c>
      <c r="M93" s="58" t="str">
        <f aca="false">IF($A93="","",INDEX(Inventory_Data!$O$5:$O$104,MATCH($A93,Inventory_Data!$U$5:$U$104,0)))</f>
        <v/>
      </c>
      <c r="N93" s="62" t="str">
        <f aca="false">IF($A93="","",INDEX(Inventory_Data!$Q$5:$Q$104,MATCH($A93,Inventory_Data!$U$5:$U$104,0)))</f>
        <v/>
      </c>
      <c r="O93" s="63" t="str">
        <f aca="false">IF($A93="","",INDEX(Inventory_Data!$R$5:$R$104,MATCH($A93,Inventory_Data!$U$5:$U$104,0)))</f>
        <v/>
      </c>
      <c r="P93" s="61" t="str">
        <f aca="false">IF($A93="","",INDEX(Inventory_Data!$S$5:$S$104,MATCH($A93,Inventory_Data!$U$5:$U$104,0)))</f>
        <v/>
      </c>
    </row>
    <row r="94" customFormat="false" ht="15" hidden="false" customHeight="false" outlineLevel="0" collapsed="false">
      <c r="A94" s="57" t="str">
        <f aca="false">IF(ROW()-4&lt;=COUNT(Inventory_Data!$U$5:$U$104),ROW()-4,"")</f>
        <v/>
      </c>
      <c r="B94" s="58" t="str">
        <f aca="false">IF($A94="","",INDEX(Inventory_Data!$B$5:$B$104,MATCH($A94,Inventory_Data!$U$5:$U$104,0)))</f>
        <v/>
      </c>
      <c r="C94" s="58" t="str">
        <f aca="false">IF($A94="","",INDEX(Inventory_Data!$C$5:$C$104,MATCH($A94,Inventory_Data!$U$5:$U$104,0)))</f>
        <v/>
      </c>
      <c r="D94" s="58" t="str">
        <f aca="false">IF($A94="","",INDEX(Inventory_Data!$D$5:$D$104,MATCH($A94,Inventory_Data!$U$5:$U$104,0)))</f>
        <v/>
      </c>
      <c r="E94" s="58" t="str">
        <f aca="false">IF($A94="","",INDEX(Inventory_Data!$E$5:$E$104,MATCH($A94,Inventory_Data!$U$5:$U$104,0)))</f>
        <v/>
      </c>
      <c r="F94" s="58" t="str">
        <f aca="false">IF($A94="","",INDEX(Inventory_Data!$F$5:$F$104,MATCH($A94,Inventory_Data!$U$5:$U$104,0)))</f>
        <v/>
      </c>
      <c r="G94" s="58" t="str">
        <f aca="false">IF($A94="","",INDEX(Inventory_Data!$G$5:$G$104,MATCH($A94,Inventory_Data!$U$5:$U$104,0)))</f>
        <v/>
      </c>
      <c r="H94" s="59" t="str">
        <f aca="false">IF($A94="","",INDEX(Inventory_Data!$I$5:$I$104,MATCH($A94,Inventory_Data!$U$5:$U$104,0)))</f>
        <v/>
      </c>
      <c r="I94" s="58" t="str">
        <f aca="false">IF($A94="","",INDEX(Inventory_Data!$N$5:$N$104,MATCH($A94,Inventory_Data!$U$5:$U$104,0)))</f>
        <v/>
      </c>
      <c r="J94" s="60" t="str">
        <f aca="false">IF($A94="","",INDEX(Inventory_Data!$M$5:$M$104,MATCH($A94,Inventory_Data!$U$5:$U$104,0)))</f>
        <v/>
      </c>
      <c r="K94" s="58" t="str">
        <f aca="false">IF($A94="","",INDEX(Inventory_Data!$K$5:$K$104,MATCH($A94,Inventory_Data!$U$5:$U$104,0)))</f>
        <v/>
      </c>
      <c r="L94" s="61" t="str">
        <f aca="false">IF($A94="","",INDEX(Inventory_Data!$J$5:$J$104,MATCH($A94,Inventory_Data!$U$5:$U$104,0)))</f>
        <v/>
      </c>
      <c r="M94" s="58" t="str">
        <f aca="false">IF($A94="","",INDEX(Inventory_Data!$O$5:$O$104,MATCH($A94,Inventory_Data!$U$5:$U$104,0)))</f>
        <v/>
      </c>
      <c r="N94" s="62" t="str">
        <f aca="false">IF($A94="","",INDEX(Inventory_Data!$Q$5:$Q$104,MATCH($A94,Inventory_Data!$U$5:$U$104,0)))</f>
        <v/>
      </c>
      <c r="O94" s="63" t="str">
        <f aca="false">IF($A94="","",INDEX(Inventory_Data!$R$5:$R$104,MATCH($A94,Inventory_Data!$U$5:$U$104,0)))</f>
        <v/>
      </c>
      <c r="P94" s="61" t="str">
        <f aca="false">IF($A94="","",INDEX(Inventory_Data!$S$5:$S$104,MATCH($A94,Inventory_Data!$U$5:$U$104,0)))</f>
        <v/>
      </c>
    </row>
    <row r="95" customFormat="false" ht="15" hidden="false" customHeight="false" outlineLevel="0" collapsed="false">
      <c r="A95" s="57" t="str">
        <f aca="false">IF(ROW()-4&lt;=COUNT(Inventory_Data!$U$5:$U$104),ROW()-4,"")</f>
        <v/>
      </c>
      <c r="B95" s="58" t="str">
        <f aca="false">IF($A95="","",INDEX(Inventory_Data!$B$5:$B$104,MATCH($A95,Inventory_Data!$U$5:$U$104,0)))</f>
        <v/>
      </c>
      <c r="C95" s="58" t="str">
        <f aca="false">IF($A95="","",INDEX(Inventory_Data!$C$5:$C$104,MATCH($A95,Inventory_Data!$U$5:$U$104,0)))</f>
        <v/>
      </c>
      <c r="D95" s="58" t="str">
        <f aca="false">IF($A95="","",INDEX(Inventory_Data!$D$5:$D$104,MATCH($A95,Inventory_Data!$U$5:$U$104,0)))</f>
        <v/>
      </c>
      <c r="E95" s="58" t="str">
        <f aca="false">IF($A95="","",INDEX(Inventory_Data!$E$5:$E$104,MATCH($A95,Inventory_Data!$U$5:$U$104,0)))</f>
        <v/>
      </c>
      <c r="F95" s="58" t="str">
        <f aca="false">IF($A95="","",INDEX(Inventory_Data!$F$5:$F$104,MATCH($A95,Inventory_Data!$U$5:$U$104,0)))</f>
        <v/>
      </c>
      <c r="G95" s="58" t="str">
        <f aca="false">IF($A95="","",INDEX(Inventory_Data!$G$5:$G$104,MATCH($A95,Inventory_Data!$U$5:$U$104,0)))</f>
        <v/>
      </c>
      <c r="H95" s="59" t="str">
        <f aca="false">IF($A95="","",INDEX(Inventory_Data!$I$5:$I$104,MATCH($A95,Inventory_Data!$U$5:$U$104,0)))</f>
        <v/>
      </c>
      <c r="I95" s="58" t="str">
        <f aca="false">IF($A95="","",INDEX(Inventory_Data!$N$5:$N$104,MATCH($A95,Inventory_Data!$U$5:$U$104,0)))</f>
        <v/>
      </c>
      <c r="J95" s="60" t="str">
        <f aca="false">IF($A95="","",INDEX(Inventory_Data!$M$5:$M$104,MATCH($A95,Inventory_Data!$U$5:$U$104,0)))</f>
        <v/>
      </c>
      <c r="K95" s="58" t="str">
        <f aca="false">IF($A95="","",INDEX(Inventory_Data!$K$5:$K$104,MATCH($A95,Inventory_Data!$U$5:$U$104,0)))</f>
        <v/>
      </c>
      <c r="L95" s="61" t="str">
        <f aca="false">IF($A95="","",INDEX(Inventory_Data!$J$5:$J$104,MATCH($A95,Inventory_Data!$U$5:$U$104,0)))</f>
        <v/>
      </c>
      <c r="M95" s="58" t="str">
        <f aca="false">IF($A95="","",INDEX(Inventory_Data!$O$5:$O$104,MATCH($A95,Inventory_Data!$U$5:$U$104,0)))</f>
        <v/>
      </c>
      <c r="N95" s="62" t="str">
        <f aca="false">IF($A95="","",INDEX(Inventory_Data!$Q$5:$Q$104,MATCH($A95,Inventory_Data!$U$5:$U$104,0)))</f>
        <v/>
      </c>
      <c r="O95" s="63" t="str">
        <f aca="false">IF($A95="","",INDEX(Inventory_Data!$R$5:$R$104,MATCH($A95,Inventory_Data!$U$5:$U$104,0)))</f>
        <v/>
      </c>
      <c r="P95" s="61" t="str">
        <f aca="false">IF($A95="","",INDEX(Inventory_Data!$S$5:$S$104,MATCH($A95,Inventory_Data!$U$5:$U$104,0)))</f>
        <v/>
      </c>
    </row>
    <row r="96" customFormat="false" ht="15" hidden="false" customHeight="false" outlineLevel="0" collapsed="false">
      <c r="A96" s="57" t="str">
        <f aca="false">IF(ROW()-4&lt;=COUNT(Inventory_Data!$U$5:$U$104),ROW()-4,"")</f>
        <v/>
      </c>
      <c r="B96" s="58" t="str">
        <f aca="false">IF($A96="","",INDEX(Inventory_Data!$B$5:$B$104,MATCH($A96,Inventory_Data!$U$5:$U$104,0)))</f>
        <v/>
      </c>
      <c r="C96" s="58" t="str">
        <f aca="false">IF($A96="","",INDEX(Inventory_Data!$C$5:$C$104,MATCH($A96,Inventory_Data!$U$5:$U$104,0)))</f>
        <v/>
      </c>
      <c r="D96" s="58" t="str">
        <f aca="false">IF($A96="","",INDEX(Inventory_Data!$D$5:$D$104,MATCH($A96,Inventory_Data!$U$5:$U$104,0)))</f>
        <v/>
      </c>
      <c r="E96" s="58" t="str">
        <f aca="false">IF($A96="","",INDEX(Inventory_Data!$E$5:$E$104,MATCH($A96,Inventory_Data!$U$5:$U$104,0)))</f>
        <v/>
      </c>
      <c r="F96" s="58" t="str">
        <f aca="false">IF($A96="","",INDEX(Inventory_Data!$F$5:$F$104,MATCH($A96,Inventory_Data!$U$5:$U$104,0)))</f>
        <v/>
      </c>
      <c r="G96" s="58" t="str">
        <f aca="false">IF($A96="","",INDEX(Inventory_Data!$G$5:$G$104,MATCH($A96,Inventory_Data!$U$5:$U$104,0)))</f>
        <v/>
      </c>
      <c r="H96" s="59" t="str">
        <f aca="false">IF($A96="","",INDEX(Inventory_Data!$I$5:$I$104,MATCH($A96,Inventory_Data!$U$5:$U$104,0)))</f>
        <v/>
      </c>
      <c r="I96" s="58" t="str">
        <f aca="false">IF($A96="","",INDEX(Inventory_Data!$N$5:$N$104,MATCH($A96,Inventory_Data!$U$5:$U$104,0)))</f>
        <v/>
      </c>
      <c r="J96" s="60" t="str">
        <f aca="false">IF($A96="","",INDEX(Inventory_Data!$M$5:$M$104,MATCH($A96,Inventory_Data!$U$5:$U$104,0)))</f>
        <v/>
      </c>
      <c r="K96" s="58" t="str">
        <f aca="false">IF($A96="","",INDEX(Inventory_Data!$K$5:$K$104,MATCH($A96,Inventory_Data!$U$5:$U$104,0)))</f>
        <v/>
      </c>
      <c r="L96" s="61" t="str">
        <f aca="false">IF($A96="","",INDEX(Inventory_Data!$J$5:$J$104,MATCH($A96,Inventory_Data!$U$5:$U$104,0)))</f>
        <v/>
      </c>
      <c r="M96" s="58" t="str">
        <f aca="false">IF($A96="","",INDEX(Inventory_Data!$O$5:$O$104,MATCH($A96,Inventory_Data!$U$5:$U$104,0)))</f>
        <v/>
      </c>
      <c r="N96" s="62" t="str">
        <f aca="false">IF($A96="","",INDEX(Inventory_Data!$Q$5:$Q$104,MATCH($A96,Inventory_Data!$U$5:$U$104,0)))</f>
        <v/>
      </c>
      <c r="O96" s="63" t="str">
        <f aca="false">IF($A96="","",INDEX(Inventory_Data!$R$5:$R$104,MATCH($A96,Inventory_Data!$U$5:$U$104,0)))</f>
        <v/>
      </c>
      <c r="P96" s="61" t="str">
        <f aca="false">IF($A96="","",INDEX(Inventory_Data!$S$5:$S$104,MATCH($A96,Inventory_Data!$U$5:$U$104,0)))</f>
        <v/>
      </c>
    </row>
    <row r="97" customFormat="false" ht="15" hidden="false" customHeight="false" outlineLevel="0" collapsed="false">
      <c r="A97" s="57" t="str">
        <f aca="false">IF(ROW()-4&lt;=COUNT(Inventory_Data!$U$5:$U$104),ROW()-4,"")</f>
        <v/>
      </c>
      <c r="B97" s="58" t="str">
        <f aca="false">IF($A97="","",INDEX(Inventory_Data!$B$5:$B$104,MATCH($A97,Inventory_Data!$U$5:$U$104,0)))</f>
        <v/>
      </c>
      <c r="C97" s="58" t="str">
        <f aca="false">IF($A97="","",INDEX(Inventory_Data!$C$5:$C$104,MATCH($A97,Inventory_Data!$U$5:$U$104,0)))</f>
        <v/>
      </c>
      <c r="D97" s="58" t="str">
        <f aca="false">IF($A97="","",INDEX(Inventory_Data!$D$5:$D$104,MATCH($A97,Inventory_Data!$U$5:$U$104,0)))</f>
        <v/>
      </c>
      <c r="E97" s="58" t="str">
        <f aca="false">IF($A97="","",INDEX(Inventory_Data!$E$5:$E$104,MATCH($A97,Inventory_Data!$U$5:$U$104,0)))</f>
        <v/>
      </c>
      <c r="F97" s="58" t="str">
        <f aca="false">IF($A97="","",INDEX(Inventory_Data!$F$5:$F$104,MATCH($A97,Inventory_Data!$U$5:$U$104,0)))</f>
        <v/>
      </c>
      <c r="G97" s="58" t="str">
        <f aca="false">IF($A97="","",INDEX(Inventory_Data!$G$5:$G$104,MATCH($A97,Inventory_Data!$U$5:$U$104,0)))</f>
        <v/>
      </c>
      <c r="H97" s="59" t="str">
        <f aca="false">IF($A97="","",INDEX(Inventory_Data!$I$5:$I$104,MATCH($A97,Inventory_Data!$U$5:$U$104,0)))</f>
        <v/>
      </c>
      <c r="I97" s="58" t="str">
        <f aca="false">IF($A97="","",INDEX(Inventory_Data!$N$5:$N$104,MATCH($A97,Inventory_Data!$U$5:$U$104,0)))</f>
        <v/>
      </c>
      <c r="J97" s="60" t="str">
        <f aca="false">IF($A97="","",INDEX(Inventory_Data!$M$5:$M$104,MATCH($A97,Inventory_Data!$U$5:$U$104,0)))</f>
        <v/>
      </c>
      <c r="K97" s="58" t="str">
        <f aca="false">IF($A97="","",INDEX(Inventory_Data!$K$5:$K$104,MATCH($A97,Inventory_Data!$U$5:$U$104,0)))</f>
        <v/>
      </c>
      <c r="L97" s="61" t="str">
        <f aca="false">IF($A97="","",INDEX(Inventory_Data!$J$5:$J$104,MATCH($A97,Inventory_Data!$U$5:$U$104,0)))</f>
        <v/>
      </c>
      <c r="M97" s="58" t="str">
        <f aca="false">IF($A97="","",INDEX(Inventory_Data!$O$5:$O$104,MATCH($A97,Inventory_Data!$U$5:$U$104,0)))</f>
        <v/>
      </c>
      <c r="N97" s="62" t="str">
        <f aca="false">IF($A97="","",INDEX(Inventory_Data!$Q$5:$Q$104,MATCH($A97,Inventory_Data!$U$5:$U$104,0)))</f>
        <v/>
      </c>
      <c r="O97" s="63" t="str">
        <f aca="false">IF($A97="","",INDEX(Inventory_Data!$R$5:$R$104,MATCH($A97,Inventory_Data!$U$5:$U$104,0)))</f>
        <v/>
      </c>
      <c r="P97" s="61" t="str">
        <f aca="false">IF($A97="","",INDEX(Inventory_Data!$S$5:$S$104,MATCH($A97,Inventory_Data!$U$5:$U$104,0)))</f>
        <v/>
      </c>
    </row>
    <row r="98" customFormat="false" ht="15" hidden="false" customHeight="false" outlineLevel="0" collapsed="false">
      <c r="A98" s="57" t="str">
        <f aca="false">IF(ROW()-4&lt;=COUNT(Inventory_Data!$U$5:$U$104),ROW()-4,"")</f>
        <v/>
      </c>
      <c r="B98" s="58" t="str">
        <f aca="false">IF($A98="","",INDEX(Inventory_Data!$B$5:$B$104,MATCH($A98,Inventory_Data!$U$5:$U$104,0)))</f>
        <v/>
      </c>
      <c r="C98" s="58" t="str">
        <f aca="false">IF($A98="","",INDEX(Inventory_Data!$C$5:$C$104,MATCH($A98,Inventory_Data!$U$5:$U$104,0)))</f>
        <v/>
      </c>
      <c r="D98" s="58" t="str">
        <f aca="false">IF($A98="","",INDEX(Inventory_Data!$D$5:$D$104,MATCH($A98,Inventory_Data!$U$5:$U$104,0)))</f>
        <v/>
      </c>
      <c r="E98" s="58" t="str">
        <f aca="false">IF($A98="","",INDEX(Inventory_Data!$E$5:$E$104,MATCH($A98,Inventory_Data!$U$5:$U$104,0)))</f>
        <v/>
      </c>
      <c r="F98" s="58" t="str">
        <f aca="false">IF($A98="","",INDEX(Inventory_Data!$F$5:$F$104,MATCH($A98,Inventory_Data!$U$5:$U$104,0)))</f>
        <v/>
      </c>
      <c r="G98" s="58" t="str">
        <f aca="false">IF($A98="","",INDEX(Inventory_Data!$G$5:$G$104,MATCH($A98,Inventory_Data!$U$5:$U$104,0)))</f>
        <v/>
      </c>
      <c r="H98" s="59" t="str">
        <f aca="false">IF($A98="","",INDEX(Inventory_Data!$I$5:$I$104,MATCH($A98,Inventory_Data!$U$5:$U$104,0)))</f>
        <v/>
      </c>
      <c r="I98" s="58" t="str">
        <f aca="false">IF($A98="","",INDEX(Inventory_Data!$N$5:$N$104,MATCH($A98,Inventory_Data!$U$5:$U$104,0)))</f>
        <v/>
      </c>
      <c r="J98" s="60" t="str">
        <f aca="false">IF($A98="","",INDEX(Inventory_Data!$M$5:$M$104,MATCH($A98,Inventory_Data!$U$5:$U$104,0)))</f>
        <v/>
      </c>
      <c r="K98" s="58" t="str">
        <f aca="false">IF($A98="","",INDEX(Inventory_Data!$K$5:$K$104,MATCH($A98,Inventory_Data!$U$5:$U$104,0)))</f>
        <v/>
      </c>
      <c r="L98" s="61" t="str">
        <f aca="false">IF($A98="","",INDEX(Inventory_Data!$J$5:$J$104,MATCH($A98,Inventory_Data!$U$5:$U$104,0)))</f>
        <v/>
      </c>
      <c r="M98" s="58" t="str">
        <f aca="false">IF($A98="","",INDEX(Inventory_Data!$O$5:$O$104,MATCH($A98,Inventory_Data!$U$5:$U$104,0)))</f>
        <v/>
      </c>
      <c r="N98" s="62" t="str">
        <f aca="false">IF($A98="","",INDEX(Inventory_Data!$Q$5:$Q$104,MATCH($A98,Inventory_Data!$U$5:$U$104,0)))</f>
        <v/>
      </c>
      <c r="O98" s="63" t="str">
        <f aca="false">IF($A98="","",INDEX(Inventory_Data!$R$5:$R$104,MATCH($A98,Inventory_Data!$U$5:$U$104,0)))</f>
        <v/>
      </c>
      <c r="P98" s="61" t="str">
        <f aca="false">IF($A98="","",INDEX(Inventory_Data!$S$5:$S$104,MATCH($A98,Inventory_Data!$U$5:$U$104,0)))</f>
        <v/>
      </c>
    </row>
    <row r="99" customFormat="false" ht="15" hidden="false" customHeight="false" outlineLevel="0" collapsed="false">
      <c r="A99" s="57" t="str">
        <f aca="false">IF(ROW()-4&lt;=COUNT(Inventory_Data!$U$5:$U$104),ROW()-4,"")</f>
        <v/>
      </c>
      <c r="B99" s="58" t="str">
        <f aca="false">IF($A99="","",INDEX(Inventory_Data!$B$5:$B$104,MATCH($A99,Inventory_Data!$U$5:$U$104,0)))</f>
        <v/>
      </c>
      <c r="C99" s="58" t="str">
        <f aca="false">IF($A99="","",INDEX(Inventory_Data!$C$5:$C$104,MATCH($A99,Inventory_Data!$U$5:$U$104,0)))</f>
        <v/>
      </c>
      <c r="D99" s="58" t="str">
        <f aca="false">IF($A99="","",INDEX(Inventory_Data!$D$5:$D$104,MATCH($A99,Inventory_Data!$U$5:$U$104,0)))</f>
        <v/>
      </c>
      <c r="E99" s="58" t="str">
        <f aca="false">IF($A99="","",INDEX(Inventory_Data!$E$5:$E$104,MATCH($A99,Inventory_Data!$U$5:$U$104,0)))</f>
        <v/>
      </c>
      <c r="F99" s="58" t="str">
        <f aca="false">IF($A99="","",INDEX(Inventory_Data!$F$5:$F$104,MATCH($A99,Inventory_Data!$U$5:$U$104,0)))</f>
        <v/>
      </c>
      <c r="G99" s="58" t="str">
        <f aca="false">IF($A99="","",INDEX(Inventory_Data!$G$5:$G$104,MATCH($A99,Inventory_Data!$U$5:$U$104,0)))</f>
        <v/>
      </c>
      <c r="H99" s="59" t="str">
        <f aca="false">IF($A99="","",INDEX(Inventory_Data!$I$5:$I$104,MATCH($A99,Inventory_Data!$U$5:$U$104,0)))</f>
        <v/>
      </c>
      <c r="I99" s="58" t="str">
        <f aca="false">IF($A99="","",INDEX(Inventory_Data!$N$5:$N$104,MATCH($A99,Inventory_Data!$U$5:$U$104,0)))</f>
        <v/>
      </c>
      <c r="J99" s="60" t="str">
        <f aca="false">IF($A99="","",INDEX(Inventory_Data!$M$5:$M$104,MATCH($A99,Inventory_Data!$U$5:$U$104,0)))</f>
        <v/>
      </c>
      <c r="K99" s="58" t="str">
        <f aca="false">IF($A99="","",INDEX(Inventory_Data!$K$5:$K$104,MATCH($A99,Inventory_Data!$U$5:$U$104,0)))</f>
        <v/>
      </c>
      <c r="L99" s="61" t="str">
        <f aca="false">IF($A99="","",INDEX(Inventory_Data!$J$5:$J$104,MATCH($A99,Inventory_Data!$U$5:$U$104,0)))</f>
        <v/>
      </c>
      <c r="M99" s="58" t="str">
        <f aca="false">IF($A99="","",INDEX(Inventory_Data!$O$5:$O$104,MATCH($A99,Inventory_Data!$U$5:$U$104,0)))</f>
        <v/>
      </c>
      <c r="N99" s="62" t="str">
        <f aca="false">IF($A99="","",INDEX(Inventory_Data!$Q$5:$Q$104,MATCH($A99,Inventory_Data!$U$5:$U$104,0)))</f>
        <v/>
      </c>
      <c r="O99" s="63" t="str">
        <f aca="false">IF($A99="","",INDEX(Inventory_Data!$R$5:$R$104,MATCH($A99,Inventory_Data!$U$5:$U$104,0)))</f>
        <v/>
      </c>
      <c r="P99" s="61" t="str">
        <f aca="false">IF($A99="","",INDEX(Inventory_Data!$S$5:$S$104,MATCH($A99,Inventory_Data!$U$5:$U$104,0)))</f>
        <v/>
      </c>
    </row>
    <row r="100" customFormat="false" ht="15" hidden="false" customHeight="false" outlineLevel="0" collapsed="false">
      <c r="A100" s="57" t="str">
        <f aca="false">IF(ROW()-4&lt;=COUNT(Inventory_Data!$U$5:$U$104),ROW()-4,"")</f>
        <v/>
      </c>
      <c r="B100" s="58" t="str">
        <f aca="false">IF($A100="","",INDEX(Inventory_Data!$B$5:$B$104,MATCH($A100,Inventory_Data!$U$5:$U$104,0)))</f>
        <v/>
      </c>
      <c r="C100" s="58" t="str">
        <f aca="false">IF($A100="","",INDEX(Inventory_Data!$C$5:$C$104,MATCH($A100,Inventory_Data!$U$5:$U$104,0)))</f>
        <v/>
      </c>
      <c r="D100" s="58" t="str">
        <f aca="false">IF($A100="","",INDEX(Inventory_Data!$D$5:$D$104,MATCH($A100,Inventory_Data!$U$5:$U$104,0)))</f>
        <v/>
      </c>
      <c r="E100" s="58" t="str">
        <f aca="false">IF($A100="","",INDEX(Inventory_Data!$E$5:$E$104,MATCH($A100,Inventory_Data!$U$5:$U$104,0)))</f>
        <v/>
      </c>
      <c r="F100" s="58" t="str">
        <f aca="false">IF($A100="","",INDEX(Inventory_Data!$F$5:$F$104,MATCH($A100,Inventory_Data!$U$5:$U$104,0)))</f>
        <v/>
      </c>
      <c r="G100" s="58" t="str">
        <f aca="false">IF($A100="","",INDEX(Inventory_Data!$G$5:$G$104,MATCH($A100,Inventory_Data!$U$5:$U$104,0)))</f>
        <v/>
      </c>
      <c r="H100" s="59" t="str">
        <f aca="false">IF($A100="","",INDEX(Inventory_Data!$I$5:$I$104,MATCH($A100,Inventory_Data!$U$5:$U$104,0)))</f>
        <v/>
      </c>
      <c r="I100" s="58" t="str">
        <f aca="false">IF($A100="","",INDEX(Inventory_Data!$N$5:$N$104,MATCH($A100,Inventory_Data!$U$5:$U$104,0)))</f>
        <v/>
      </c>
      <c r="J100" s="60" t="str">
        <f aca="false">IF($A100="","",INDEX(Inventory_Data!$M$5:$M$104,MATCH($A100,Inventory_Data!$U$5:$U$104,0)))</f>
        <v/>
      </c>
      <c r="K100" s="58" t="str">
        <f aca="false">IF($A100="","",INDEX(Inventory_Data!$K$5:$K$104,MATCH($A100,Inventory_Data!$U$5:$U$104,0)))</f>
        <v/>
      </c>
      <c r="L100" s="61" t="str">
        <f aca="false">IF($A100="","",INDEX(Inventory_Data!$J$5:$J$104,MATCH($A100,Inventory_Data!$U$5:$U$104,0)))</f>
        <v/>
      </c>
      <c r="M100" s="58" t="str">
        <f aca="false">IF($A100="","",INDEX(Inventory_Data!$O$5:$O$104,MATCH($A100,Inventory_Data!$U$5:$U$104,0)))</f>
        <v/>
      </c>
      <c r="N100" s="62" t="str">
        <f aca="false">IF($A100="","",INDEX(Inventory_Data!$Q$5:$Q$104,MATCH($A100,Inventory_Data!$U$5:$U$104,0)))</f>
        <v/>
      </c>
      <c r="O100" s="63" t="str">
        <f aca="false">IF($A100="","",INDEX(Inventory_Data!$R$5:$R$104,MATCH($A100,Inventory_Data!$U$5:$U$104,0)))</f>
        <v/>
      </c>
      <c r="P100" s="61" t="str">
        <f aca="false">IF($A100="","",INDEX(Inventory_Data!$S$5:$S$104,MATCH($A100,Inventory_Data!$U$5:$U$104,0)))</f>
        <v/>
      </c>
    </row>
    <row r="101" customFormat="false" ht="15" hidden="false" customHeight="false" outlineLevel="0" collapsed="false">
      <c r="A101" s="57" t="str">
        <f aca="false">IF(ROW()-4&lt;=COUNT(Inventory_Data!$U$5:$U$104),ROW()-4,"")</f>
        <v/>
      </c>
      <c r="B101" s="58" t="str">
        <f aca="false">IF($A101="","",INDEX(Inventory_Data!$B$5:$B$104,MATCH($A101,Inventory_Data!$U$5:$U$104,0)))</f>
        <v/>
      </c>
      <c r="C101" s="58" t="str">
        <f aca="false">IF($A101="","",INDEX(Inventory_Data!$C$5:$C$104,MATCH($A101,Inventory_Data!$U$5:$U$104,0)))</f>
        <v/>
      </c>
      <c r="D101" s="58" t="str">
        <f aca="false">IF($A101="","",INDEX(Inventory_Data!$D$5:$D$104,MATCH($A101,Inventory_Data!$U$5:$U$104,0)))</f>
        <v/>
      </c>
      <c r="E101" s="58" t="str">
        <f aca="false">IF($A101="","",INDEX(Inventory_Data!$E$5:$E$104,MATCH($A101,Inventory_Data!$U$5:$U$104,0)))</f>
        <v/>
      </c>
      <c r="F101" s="58" t="str">
        <f aca="false">IF($A101="","",INDEX(Inventory_Data!$F$5:$F$104,MATCH($A101,Inventory_Data!$U$5:$U$104,0)))</f>
        <v/>
      </c>
      <c r="G101" s="58" t="str">
        <f aca="false">IF($A101="","",INDEX(Inventory_Data!$G$5:$G$104,MATCH($A101,Inventory_Data!$U$5:$U$104,0)))</f>
        <v/>
      </c>
      <c r="H101" s="59" t="str">
        <f aca="false">IF($A101="","",INDEX(Inventory_Data!$I$5:$I$104,MATCH($A101,Inventory_Data!$U$5:$U$104,0)))</f>
        <v/>
      </c>
      <c r="I101" s="58" t="str">
        <f aca="false">IF($A101="","",INDEX(Inventory_Data!$N$5:$N$104,MATCH($A101,Inventory_Data!$U$5:$U$104,0)))</f>
        <v/>
      </c>
      <c r="J101" s="60" t="str">
        <f aca="false">IF($A101="","",INDEX(Inventory_Data!$M$5:$M$104,MATCH($A101,Inventory_Data!$U$5:$U$104,0)))</f>
        <v/>
      </c>
      <c r="K101" s="58" t="str">
        <f aca="false">IF($A101="","",INDEX(Inventory_Data!$K$5:$K$104,MATCH($A101,Inventory_Data!$U$5:$U$104,0)))</f>
        <v/>
      </c>
      <c r="L101" s="61" t="str">
        <f aca="false">IF($A101="","",INDEX(Inventory_Data!$J$5:$J$104,MATCH($A101,Inventory_Data!$U$5:$U$104,0)))</f>
        <v/>
      </c>
      <c r="M101" s="58" t="str">
        <f aca="false">IF($A101="","",INDEX(Inventory_Data!$O$5:$O$104,MATCH($A101,Inventory_Data!$U$5:$U$104,0)))</f>
        <v/>
      </c>
      <c r="N101" s="62" t="str">
        <f aca="false">IF($A101="","",INDEX(Inventory_Data!$Q$5:$Q$104,MATCH($A101,Inventory_Data!$U$5:$U$104,0)))</f>
        <v/>
      </c>
      <c r="O101" s="63" t="str">
        <f aca="false">IF($A101="","",INDEX(Inventory_Data!$R$5:$R$104,MATCH($A101,Inventory_Data!$U$5:$U$104,0)))</f>
        <v/>
      </c>
      <c r="P101" s="61" t="str">
        <f aca="false">IF($A101="","",INDEX(Inventory_Data!$S$5:$S$104,MATCH($A101,Inventory_Data!$U$5:$U$104,0)))</f>
        <v/>
      </c>
    </row>
    <row r="102" customFormat="false" ht="15" hidden="false" customHeight="false" outlineLevel="0" collapsed="false">
      <c r="A102" s="57" t="str">
        <f aca="false">IF(ROW()-4&lt;=COUNT(Inventory_Data!$U$5:$U$104),ROW()-4,"")</f>
        <v/>
      </c>
      <c r="B102" s="58" t="str">
        <f aca="false">IF($A102="","",INDEX(Inventory_Data!$B$5:$B$104,MATCH($A102,Inventory_Data!$U$5:$U$104,0)))</f>
        <v/>
      </c>
      <c r="C102" s="58" t="str">
        <f aca="false">IF($A102="","",INDEX(Inventory_Data!$C$5:$C$104,MATCH($A102,Inventory_Data!$U$5:$U$104,0)))</f>
        <v/>
      </c>
      <c r="D102" s="58" t="str">
        <f aca="false">IF($A102="","",INDEX(Inventory_Data!$D$5:$D$104,MATCH($A102,Inventory_Data!$U$5:$U$104,0)))</f>
        <v/>
      </c>
      <c r="E102" s="58" t="str">
        <f aca="false">IF($A102="","",INDEX(Inventory_Data!$E$5:$E$104,MATCH($A102,Inventory_Data!$U$5:$U$104,0)))</f>
        <v/>
      </c>
      <c r="F102" s="58" t="str">
        <f aca="false">IF($A102="","",INDEX(Inventory_Data!$F$5:$F$104,MATCH($A102,Inventory_Data!$U$5:$U$104,0)))</f>
        <v/>
      </c>
      <c r="G102" s="58" t="str">
        <f aca="false">IF($A102="","",INDEX(Inventory_Data!$G$5:$G$104,MATCH($A102,Inventory_Data!$U$5:$U$104,0)))</f>
        <v/>
      </c>
      <c r="H102" s="59" t="str">
        <f aca="false">IF($A102="","",INDEX(Inventory_Data!$I$5:$I$104,MATCH($A102,Inventory_Data!$U$5:$U$104,0)))</f>
        <v/>
      </c>
      <c r="I102" s="58" t="str">
        <f aca="false">IF($A102="","",INDEX(Inventory_Data!$N$5:$N$104,MATCH($A102,Inventory_Data!$U$5:$U$104,0)))</f>
        <v/>
      </c>
      <c r="J102" s="60" t="str">
        <f aca="false">IF($A102="","",INDEX(Inventory_Data!$M$5:$M$104,MATCH($A102,Inventory_Data!$U$5:$U$104,0)))</f>
        <v/>
      </c>
      <c r="K102" s="58" t="str">
        <f aca="false">IF($A102="","",INDEX(Inventory_Data!$K$5:$K$104,MATCH($A102,Inventory_Data!$U$5:$U$104,0)))</f>
        <v/>
      </c>
      <c r="L102" s="61" t="str">
        <f aca="false">IF($A102="","",INDEX(Inventory_Data!$J$5:$J$104,MATCH($A102,Inventory_Data!$U$5:$U$104,0)))</f>
        <v/>
      </c>
      <c r="M102" s="58" t="str">
        <f aca="false">IF($A102="","",INDEX(Inventory_Data!$O$5:$O$104,MATCH($A102,Inventory_Data!$U$5:$U$104,0)))</f>
        <v/>
      </c>
      <c r="N102" s="62" t="str">
        <f aca="false">IF($A102="","",INDEX(Inventory_Data!$Q$5:$Q$104,MATCH($A102,Inventory_Data!$U$5:$U$104,0)))</f>
        <v/>
      </c>
      <c r="O102" s="63" t="str">
        <f aca="false">IF($A102="","",INDEX(Inventory_Data!$R$5:$R$104,MATCH($A102,Inventory_Data!$U$5:$U$104,0)))</f>
        <v/>
      </c>
      <c r="P102" s="61" t="str">
        <f aca="false">IF($A102="","",INDEX(Inventory_Data!$S$5:$S$104,MATCH($A102,Inventory_Data!$U$5:$U$104,0)))</f>
        <v/>
      </c>
    </row>
    <row r="103" customFormat="false" ht="15" hidden="false" customHeight="false" outlineLevel="0" collapsed="false">
      <c r="A103" s="57" t="str">
        <f aca="false">IF(ROW()-4&lt;=COUNT(Inventory_Data!$U$5:$U$104),ROW()-4,"")</f>
        <v/>
      </c>
      <c r="B103" s="58" t="str">
        <f aca="false">IF($A103="","",INDEX(Inventory_Data!$B$5:$B$104,MATCH($A103,Inventory_Data!$U$5:$U$104,0)))</f>
        <v/>
      </c>
      <c r="C103" s="58" t="str">
        <f aca="false">IF($A103="","",INDEX(Inventory_Data!$C$5:$C$104,MATCH($A103,Inventory_Data!$U$5:$U$104,0)))</f>
        <v/>
      </c>
      <c r="D103" s="58" t="str">
        <f aca="false">IF($A103="","",INDEX(Inventory_Data!$D$5:$D$104,MATCH($A103,Inventory_Data!$U$5:$U$104,0)))</f>
        <v/>
      </c>
      <c r="E103" s="58" t="str">
        <f aca="false">IF($A103="","",INDEX(Inventory_Data!$E$5:$E$104,MATCH($A103,Inventory_Data!$U$5:$U$104,0)))</f>
        <v/>
      </c>
      <c r="F103" s="58" t="str">
        <f aca="false">IF($A103="","",INDEX(Inventory_Data!$F$5:$F$104,MATCH($A103,Inventory_Data!$U$5:$U$104,0)))</f>
        <v/>
      </c>
      <c r="G103" s="58" t="str">
        <f aca="false">IF($A103="","",INDEX(Inventory_Data!$G$5:$G$104,MATCH($A103,Inventory_Data!$U$5:$U$104,0)))</f>
        <v/>
      </c>
      <c r="H103" s="59" t="str">
        <f aca="false">IF($A103="","",INDEX(Inventory_Data!$I$5:$I$104,MATCH($A103,Inventory_Data!$U$5:$U$104,0)))</f>
        <v/>
      </c>
      <c r="I103" s="58" t="str">
        <f aca="false">IF($A103="","",INDEX(Inventory_Data!$N$5:$N$104,MATCH($A103,Inventory_Data!$U$5:$U$104,0)))</f>
        <v/>
      </c>
      <c r="J103" s="60" t="str">
        <f aca="false">IF($A103="","",INDEX(Inventory_Data!$M$5:$M$104,MATCH($A103,Inventory_Data!$U$5:$U$104,0)))</f>
        <v/>
      </c>
      <c r="K103" s="58" t="str">
        <f aca="false">IF($A103="","",INDEX(Inventory_Data!$K$5:$K$104,MATCH($A103,Inventory_Data!$U$5:$U$104,0)))</f>
        <v/>
      </c>
      <c r="L103" s="61" t="str">
        <f aca="false">IF($A103="","",INDEX(Inventory_Data!$J$5:$J$104,MATCH($A103,Inventory_Data!$U$5:$U$104,0)))</f>
        <v/>
      </c>
      <c r="M103" s="58" t="str">
        <f aca="false">IF($A103="","",INDEX(Inventory_Data!$O$5:$O$104,MATCH($A103,Inventory_Data!$U$5:$U$104,0)))</f>
        <v/>
      </c>
      <c r="N103" s="62" t="str">
        <f aca="false">IF($A103="","",INDEX(Inventory_Data!$Q$5:$Q$104,MATCH($A103,Inventory_Data!$U$5:$U$104,0)))</f>
        <v/>
      </c>
      <c r="O103" s="63" t="str">
        <f aca="false">IF($A103="","",INDEX(Inventory_Data!$R$5:$R$104,MATCH($A103,Inventory_Data!$U$5:$U$104,0)))</f>
        <v/>
      </c>
      <c r="P103" s="61" t="str">
        <f aca="false">IF($A103="","",INDEX(Inventory_Data!$S$5:$S$104,MATCH($A103,Inventory_Data!$U$5:$U$104,0)))</f>
        <v/>
      </c>
    </row>
    <row r="104" customFormat="false" ht="15" hidden="false" customHeight="false" outlineLevel="0" collapsed="false">
      <c r="A104" s="57" t="str">
        <f aca="false">IF(ROW()-4&lt;=COUNT(Inventory_Data!$U$5:$U$104),ROW()-4,"")</f>
        <v/>
      </c>
      <c r="B104" s="58" t="str">
        <f aca="false">IF($A104="","",INDEX(Inventory_Data!$B$5:$B$104,MATCH($A104,Inventory_Data!$U$5:$U$104,0)))</f>
        <v/>
      </c>
      <c r="C104" s="58" t="str">
        <f aca="false">IF($A104="","",INDEX(Inventory_Data!$C$5:$C$104,MATCH($A104,Inventory_Data!$U$5:$U$104,0)))</f>
        <v/>
      </c>
      <c r="D104" s="58" t="str">
        <f aca="false">IF($A104="","",INDEX(Inventory_Data!$D$5:$D$104,MATCH($A104,Inventory_Data!$U$5:$U$104,0)))</f>
        <v/>
      </c>
      <c r="E104" s="58" t="str">
        <f aca="false">IF($A104="","",INDEX(Inventory_Data!$E$5:$E$104,MATCH($A104,Inventory_Data!$U$5:$U$104,0)))</f>
        <v/>
      </c>
      <c r="F104" s="58" t="str">
        <f aca="false">IF($A104="","",INDEX(Inventory_Data!$F$5:$F$104,MATCH($A104,Inventory_Data!$U$5:$U$104,0)))</f>
        <v/>
      </c>
      <c r="G104" s="58" t="str">
        <f aca="false">IF($A104="","",INDEX(Inventory_Data!$G$5:$G$104,MATCH($A104,Inventory_Data!$U$5:$U$104,0)))</f>
        <v/>
      </c>
      <c r="H104" s="59" t="str">
        <f aca="false">IF($A104="","",INDEX(Inventory_Data!$I$5:$I$104,MATCH($A104,Inventory_Data!$U$5:$U$104,0)))</f>
        <v/>
      </c>
      <c r="I104" s="58" t="str">
        <f aca="false">IF($A104="","",INDEX(Inventory_Data!$N$5:$N$104,MATCH($A104,Inventory_Data!$U$5:$U$104,0)))</f>
        <v/>
      </c>
      <c r="J104" s="60" t="str">
        <f aca="false">IF($A104="","",INDEX(Inventory_Data!$M$5:$M$104,MATCH($A104,Inventory_Data!$U$5:$U$104,0)))</f>
        <v/>
      </c>
      <c r="K104" s="58" t="str">
        <f aca="false">IF($A104="","",INDEX(Inventory_Data!$K$5:$K$104,MATCH($A104,Inventory_Data!$U$5:$U$104,0)))</f>
        <v/>
      </c>
      <c r="L104" s="61" t="str">
        <f aca="false">IF($A104="","",INDEX(Inventory_Data!$J$5:$J$104,MATCH($A104,Inventory_Data!$U$5:$U$104,0)))</f>
        <v/>
      </c>
      <c r="M104" s="58" t="str">
        <f aca="false">IF($A104="","",INDEX(Inventory_Data!$O$5:$O$104,MATCH($A104,Inventory_Data!$U$5:$U$104,0)))</f>
        <v/>
      </c>
      <c r="N104" s="62" t="str">
        <f aca="false">IF($A104="","",INDEX(Inventory_Data!$Q$5:$Q$104,MATCH($A104,Inventory_Data!$U$5:$U$104,0)))</f>
        <v/>
      </c>
      <c r="O104" s="63" t="str">
        <f aca="false">IF($A104="","",INDEX(Inventory_Data!$R$5:$R$104,MATCH($A104,Inventory_Data!$U$5:$U$104,0)))</f>
        <v/>
      </c>
      <c r="P104" s="61" t="str">
        <f aca="false">IF($A104="","",INDEX(Inventory_Data!$S$5:$S$104,MATCH($A104,Inventory_Data!$U$5:$U$104,0)))</f>
        <v/>
      </c>
    </row>
  </sheetData>
  <mergeCells count="2">
    <mergeCell ref="A1:P1"/>
    <mergeCell ref="A2:P2"/>
  </mergeCells>
  <conditionalFormatting sqref="H5:H104">
    <cfRule type="cellIs" priority="2" operator="equal" aboveAverage="0" equalAverage="0" bottom="0" percent="0" rank="0" text="" dxfId="1">
      <formula>"REORDER NOW"</formula>
    </cfRule>
    <cfRule type="cellIs" priority="3" operator="equal" aboveAverage="0" equalAverage="0" bottom="0" percent="0" rank="0" text="" dxfId="2">
      <formula>"LOW STOCK"</formula>
    </cfRule>
    <cfRule type="cellIs" priority="4" operator="equal" aboveAverage="0" equalAverage="0" bottom="0" percent="0" rank="0" text="" dxfId="3">
      <formula>"IN STOCK"</formula>
    </cfRule>
  </conditionalFormatting>
  <conditionalFormatting sqref="I5:I104">
    <cfRule type="cellIs" priority="5" operator="equal" aboveAverage="0" equalAverage="0" bottom="0" percent="0" rank="0" text="" dxfId="0">
      <formula>"CRITICAL"</formula>
    </cfRule>
    <cfRule type="cellIs" priority="6" operator="equal" aboveAverage="0" equalAverage="0" bottom="0" percent="0" rank="0" text="" dxfId="1">
      <formula>"HIGH"</formula>
    </cfRule>
    <cfRule type="cellIs" priority="7" operator="equal" aboveAverage="0" equalAverage="0" bottom="0" percent="0" rank="0" text="" dxfId="2">
      <formula>"MEDIUM"</formula>
    </cfRule>
  </conditionalFormatting>
  <conditionalFormatting sqref="A5:P104">
    <cfRule type="expression" priority="8" aboveAverage="0" equalAverage="0" bottom="0" percent="0" rank="0" text="" dxfId="17">
      <formula>$A5&lt;&gt;""</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A0"/>
    <pageSetUpPr fitToPage="false"/>
  </sheetPr>
  <dimension ref="A1:F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40"/>
    <col collapsed="false" customWidth="true" hidden="false" outlineLevel="0" max="3" min="3" style="0" width="3"/>
    <col collapsed="false" customWidth="true" hidden="false" outlineLevel="0" max="6" min="4" style="0" width="16"/>
  </cols>
  <sheetData>
    <row r="1" customFormat="false" ht="33.75" hidden="false" customHeight="true" outlineLevel="0" collapsed="false">
      <c r="A1" s="5" t="s">
        <v>121</v>
      </c>
      <c r="B1" s="5"/>
      <c r="C1" s="5"/>
      <c r="D1" s="5"/>
      <c r="E1" s="5"/>
      <c r="F1" s="5"/>
    </row>
    <row r="2" customFormat="false" ht="15" hidden="false" customHeight="false" outlineLevel="0" collapsed="false">
      <c r="A2" s="64" t="s">
        <v>122</v>
      </c>
      <c r="B2" s="64"/>
      <c r="C2" s="64"/>
      <c r="D2" s="64"/>
      <c r="E2" s="64"/>
      <c r="F2" s="64"/>
    </row>
    <row r="4" customFormat="false" ht="15" hidden="false" customHeight="false" outlineLevel="0" collapsed="false">
      <c r="A4" s="65" t="s">
        <v>90</v>
      </c>
      <c r="B4" s="8" t="s">
        <v>50</v>
      </c>
      <c r="D4" s="66" t="str">
        <f aca="false">IF($B$6=0,"NOT FOUND",INDEX(Inventory_Data!$I$5:$I$104,$B$6))</f>
        <v>REORDER NOW</v>
      </c>
      <c r="E4" s="66"/>
      <c r="F4" s="66"/>
    </row>
    <row r="5" customFormat="false" ht="15" hidden="false" customHeight="false" outlineLevel="0" collapsed="false">
      <c r="A5" s="65" t="s">
        <v>78</v>
      </c>
      <c r="B5" s="8" t="s">
        <v>102</v>
      </c>
      <c r="D5" s="66"/>
      <c r="E5" s="66"/>
      <c r="F5" s="66"/>
    </row>
    <row r="6" customFormat="false" ht="15" hidden="false" customHeight="false" outlineLevel="0" collapsed="false">
      <c r="A6" s="67" t="s">
        <v>123</v>
      </c>
      <c r="B6" s="68" t="n">
        <f aca="false">SUMPRODUCT((Inventory_Data!$B$5:$B$104=$B$4)*(Inventory_Data!$C$5:$C$104=$B$5)*(ROW(Inventory_Data!$B$5:$B$104)-4))</f>
        <v>3</v>
      </c>
      <c r="D6" s="66"/>
      <c r="E6" s="66"/>
      <c r="F6" s="66"/>
    </row>
    <row r="8" customFormat="false" ht="30" hidden="false" customHeight="true" outlineLevel="0" collapsed="false">
      <c r="A8" s="23" t="s">
        <v>124</v>
      </c>
      <c r="B8" s="23" t="s">
        <v>125</v>
      </c>
    </row>
    <row r="9" customFormat="false" ht="15" hidden="false" customHeight="false" outlineLevel="0" collapsed="false">
      <c r="A9" s="69" t="s">
        <v>37</v>
      </c>
      <c r="B9" s="25" t="str">
        <f aca="false">IF($B$6=0,"-",INDEX(Inventory_Data!$D$5:$D$104,$B$6))</f>
        <v>Toys</v>
      </c>
    </row>
    <row r="10" customFormat="false" ht="15" hidden="false" customHeight="false" outlineLevel="0" collapsed="false">
      <c r="A10" s="69" t="s">
        <v>61</v>
      </c>
      <c r="B10" s="25" t="str">
        <f aca="false">IF($B$6=0,"-",INDEX(Inventory_Data!$E$5:$E$104,$B$6))</f>
        <v>East</v>
      </c>
    </row>
    <row r="11" customFormat="false" ht="15" hidden="false" customHeight="false" outlineLevel="0" collapsed="false">
      <c r="A11" s="69" t="s">
        <v>79</v>
      </c>
      <c r="B11" s="70" t="n">
        <f aca="false">IF($B$6=0,"-",INDEX(Inventory_Data!$F$5:$F$104,$B$6))</f>
        <v>69</v>
      </c>
    </row>
    <row r="12" customFormat="false" ht="15" hidden="false" customHeight="false" outlineLevel="0" collapsed="false">
      <c r="A12" s="69" t="s">
        <v>80</v>
      </c>
      <c r="B12" s="70" t="n">
        <f aca="false">IF($B$6=0,"-",INDEX(Inventory_Data!$G$5:$G$104,$B$6))</f>
        <v>77</v>
      </c>
    </row>
    <row r="13" customFormat="false" ht="15" hidden="false" customHeight="false" outlineLevel="0" collapsed="false">
      <c r="A13" s="69" t="s">
        <v>91</v>
      </c>
      <c r="B13" s="71" t="n">
        <f aca="false">IF($B$6=0,"-",INDEX(Inventory_Data!$H$5:$H$104,$B$6))</f>
        <v>21.94</v>
      </c>
    </row>
    <row r="14" customFormat="false" ht="15" hidden="false" customHeight="false" outlineLevel="0" collapsed="false">
      <c r="A14" s="69" t="s">
        <v>92</v>
      </c>
      <c r="B14" s="35" t="str">
        <f aca="false">IF($B$6=0,"-",INDEX(Inventory_Data!$I$5:$I$104,$B$6))</f>
        <v>REORDER NOW</v>
      </c>
    </row>
    <row r="15" customFormat="false" ht="15" hidden="false" customHeight="false" outlineLevel="0" collapsed="false">
      <c r="A15" s="69" t="s">
        <v>62</v>
      </c>
      <c r="B15" s="35" t="str">
        <f aca="false">IF($B$6=0,"-",INDEX(Inventory_Data!$N$5:$N$104,$B$6))</f>
        <v>HIGH</v>
      </c>
    </row>
    <row r="16" customFormat="false" ht="15" hidden="false" customHeight="false" outlineLevel="0" collapsed="false">
      <c r="A16" s="69" t="s">
        <v>84</v>
      </c>
      <c r="B16" s="25" t="str">
        <f aca="false">IF($B$6=0,"-",INDEX(Inventory_Data!$J$5:$J$104,$B$6))</f>
        <v>PlayWorld Distributors</v>
      </c>
    </row>
    <row r="17" customFormat="false" ht="15" hidden="false" customHeight="false" outlineLevel="0" collapsed="false">
      <c r="A17" s="69" t="s">
        <v>83</v>
      </c>
      <c r="B17" s="72" t="n">
        <f aca="false">IF($B$6=0,"-",INDEX(Inventory_Data!$K$5:$K$104,$B$6))</f>
        <v>5</v>
      </c>
    </row>
    <row r="18" customFormat="false" ht="15" hidden="false" customHeight="false" outlineLevel="0" collapsed="false">
      <c r="A18" s="69" t="s">
        <v>93</v>
      </c>
      <c r="B18" s="31" t="n">
        <f aca="false">IF($B$6=0,"-",INDEX(Inventory_Data!$L$5:$L$104,$B$6))</f>
        <v>13.3</v>
      </c>
    </row>
    <row r="19" customFormat="false" ht="15" hidden="false" customHeight="false" outlineLevel="0" collapsed="false">
      <c r="A19" s="69" t="s">
        <v>82</v>
      </c>
      <c r="B19" s="31" t="n">
        <f aca="false">IF($B$6=0,"-",INDEX(Inventory_Data!$M$5:$M$104,$B$6))</f>
        <v>5.2</v>
      </c>
    </row>
    <row r="20" customFormat="false" ht="15" hidden="false" customHeight="false" outlineLevel="0" collapsed="false">
      <c r="A20" s="69" t="s">
        <v>94</v>
      </c>
      <c r="B20" s="70" t="n">
        <f aca="false">IF($B$6=0,"-",INDEX(Inventory_Data!$O$5:$O$104,$B$6))</f>
        <v>162</v>
      </c>
    </row>
    <row r="21" customFormat="false" ht="15" hidden="false" customHeight="false" outlineLevel="0" collapsed="false">
      <c r="A21" s="69" t="s">
        <v>126</v>
      </c>
      <c r="B21" s="30" t="n">
        <f aca="false">IF($B$6=0,"-",INDEX(Inventory_Data!$Q$5:$Q$104,$B$6))</f>
        <v>3554.28</v>
      </c>
    </row>
    <row r="22" customFormat="false" ht="15" hidden="false" customHeight="false" outlineLevel="0" collapsed="false">
      <c r="A22" s="69" t="s">
        <v>97</v>
      </c>
      <c r="B22" s="73" t="n">
        <f aca="false">IF($B$6=0,"-",INDEX(Inventory_Data!$R$5:$R$104,$B$6))</f>
        <v>45297</v>
      </c>
    </row>
    <row r="23" customFormat="false" ht="15" hidden="false" customHeight="false" outlineLevel="0" collapsed="false">
      <c r="A23" s="69" t="s">
        <v>87</v>
      </c>
      <c r="B23" s="25" t="str">
        <f aca="false">IF($B$6=0,"-",INDEX(Inventory_Data!$S$5:$S$104,$B$6))</f>
        <v>Raise purchase order today</v>
      </c>
    </row>
  </sheetData>
  <mergeCells count="3">
    <mergeCell ref="A1:F1"/>
    <mergeCell ref="A2:F2"/>
    <mergeCell ref="D4:F6"/>
  </mergeCells>
  <conditionalFormatting sqref="D4:F6">
    <cfRule type="expression" priority="2" aboveAverage="0" equalAverage="0" bottom="0" percent="0" rank="0" text="" dxfId="1">
      <formula>$D$4="REORDER NOW"</formula>
    </cfRule>
    <cfRule type="expression" priority="3" aboveAverage="0" equalAverage="0" bottom="0" percent="0" rank="0" text="" dxfId="2">
      <formula>$D$4="LOW STOCK"</formula>
    </cfRule>
    <cfRule type="expression" priority="4" aboveAverage="0" equalAverage="0" bottom="0" percent="0" rank="0" text="" dxfId="3">
      <formula>$D$4="IN STOCK"</formula>
    </cfRule>
    <cfRule type="expression" priority="5" aboveAverage="0" equalAverage="0" bottom="0" percent="0" rank="0" text="" dxfId="18">
      <formula>$D$4="NOT FOUND"</formula>
    </cfRule>
  </conditionalFormatting>
  <conditionalFormatting sqref="B14">
    <cfRule type="cellIs" priority="6" operator="equal" aboveAverage="0" equalAverage="0" bottom="0" percent="0" rank="0" text="" dxfId="1">
      <formula>"REORDER NOW"</formula>
    </cfRule>
    <cfRule type="cellIs" priority="7" operator="equal" aboveAverage="0" equalAverage="0" bottom="0" percent="0" rank="0" text="" dxfId="2">
      <formula>"LOW STOCK"</formula>
    </cfRule>
    <cfRule type="cellIs" priority="8" operator="equal" aboveAverage="0" equalAverage="0" bottom="0" percent="0" rank="0" text="" dxfId="3">
      <formula>"IN STOCK"</formula>
    </cfRule>
  </conditionalFormatting>
  <conditionalFormatting sqref="B15">
    <cfRule type="cellIs" priority="9" operator="equal" aboveAverage="0" equalAverage="0" bottom="0" percent="0" rank="0" text="" dxfId="0">
      <formula>"CRITICAL"</formula>
    </cfRule>
    <cfRule type="cellIs" priority="10" operator="equal" aboveAverage="0" equalAverage="0" bottom="0" percent="0" rank="0" text="" dxfId="1">
      <formula>"HIGH"</formula>
    </cfRule>
    <cfRule type="cellIs" priority="11" operator="equal" aboveAverage="0" equalAverage="0" bottom="0" percent="0" rank="0" text="" dxfId="2">
      <formula>"MEDIUM"</formula>
    </cfRule>
  </conditionalFormatting>
  <dataValidations count="2">
    <dataValidation allowBlank="false" errorStyle="stop" operator="between" showDropDown="false" showErrorMessage="false" showInputMessage="false" sqref="B4" type="list">
      <formula1>Settings!$E$6:$E$10</formula1>
      <formula2>0</formula2>
    </dataValidation>
    <dataValidation allowBlank="false" errorStyle="stop" operator="between" showDropDown="false" showErrorMessage="false" showInputMessage="false" sqref="B5" type="list">
      <formula1>Settings!$G$5:$G$24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G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26"/>
    <col collapsed="false" customWidth="true" hidden="false" outlineLevel="0" max="3" min="3" style="0" width="20"/>
    <col collapsed="false" customWidth="true" hidden="false" outlineLevel="0" max="4" min="4" style="0" width="17"/>
    <col collapsed="false" customWidth="true" hidden="false" outlineLevel="0" max="5" min="5" style="0" width="22"/>
    <col collapsed="false" customWidth="true" hidden="false" outlineLevel="0" max="6" min="6" style="0" width="16"/>
    <col collapsed="false" customWidth="true" hidden="false" outlineLevel="0" max="7" min="7" style="0" width="32"/>
  </cols>
  <sheetData>
    <row r="1" customFormat="false" ht="33.75" hidden="false" customHeight="true" outlineLevel="0" collapsed="false">
      <c r="A1" s="5" t="s">
        <v>127</v>
      </c>
      <c r="B1" s="5"/>
      <c r="C1" s="5"/>
      <c r="D1" s="5"/>
      <c r="E1" s="5"/>
      <c r="F1" s="5"/>
      <c r="G1" s="5"/>
    </row>
    <row r="2" customFormat="false" ht="15" hidden="false" customHeight="false" outlineLevel="0" collapsed="false">
      <c r="A2" s="64" t="s">
        <v>128</v>
      </c>
      <c r="B2" s="64"/>
      <c r="C2" s="64"/>
      <c r="D2" s="64"/>
      <c r="E2" s="64"/>
      <c r="F2" s="64"/>
      <c r="G2" s="64"/>
    </row>
    <row r="4" customFormat="false" ht="30" hidden="false" customHeight="true" outlineLevel="0" collapsed="false">
      <c r="A4" s="23" t="s">
        <v>129</v>
      </c>
      <c r="B4" s="23" t="s">
        <v>130</v>
      </c>
      <c r="C4" s="23" t="s">
        <v>131</v>
      </c>
      <c r="D4" s="23" t="s">
        <v>83</v>
      </c>
      <c r="E4" s="23" t="s">
        <v>132</v>
      </c>
      <c r="F4" s="23" t="s">
        <v>133</v>
      </c>
      <c r="G4" s="23" t="s">
        <v>134</v>
      </c>
    </row>
    <row r="5" customFormat="false" ht="15" hidden="false" customHeight="false" outlineLevel="0" collapsed="false">
      <c r="A5" s="25" t="s">
        <v>135</v>
      </c>
      <c r="B5" s="36" t="s">
        <v>136</v>
      </c>
      <c r="C5" s="25" t="s">
        <v>51</v>
      </c>
      <c r="D5" s="74" t="n">
        <v>6</v>
      </c>
      <c r="E5" s="75" t="n">
        <v>92</v>
      </c>
      <c r="F5" s="25" t="s">
        <v>137</v>
      </c>
      <c r="G5" s="25" t="s">
        <v>138</v>
      </c>
    </row>
    <row r="6" customFormat="false" ht="15" hidden="false" customHeight="false" outlineLevel="0" collapsed="false">
      <c r="A6" s="25" t="s">
        <v>139</v>
      </c>
      <c r="B6" s="36" t="s">
        <v>140</v>
      </c>
      <c r="C6" s="25" t="s">
        <v>53</v>
      </c>
      <c r="D6" s="74" t="n">
        <v>7</v>
      </c>
      <c r="E6" s="75" t="n">
        <v>95</v>
      </c>
      <c r="F6" s="25" t="s">
        <v>141</v>
      </c>
      <c r="G6" s="25" t="s">
        <v>142</v>
      </c>
    </row>
    <row r="7" customFormat="false" ht="15" hidden="false" customHeight="false" outlineLevel="0" collapsed="false">
      <c r="A7" s="25" t="s">
        <v>143</v>
      </c>
      <c r="B7" s="36" t="s">
        <v>144</v>
      </c>
      <c r="C7" s="25" t="s">
        <v>55</v>
      </c>
      <c r="D7" s="74" t="n">
        <v>12</v>
      </c>
      <c r="E7" s="75" t="n">
        <v>88</v>
      </c>
      <c r="F7" s="25" t="s">
        <v>145</v>
      </c>
      <c r="G7" s="25" t="s">
        <v>146</v>
      </c>
    </row>
    <row r="8" customFormat="false" ht="15" hidden="false" customHeight="false" outlineLevel="0" collapsed="false">
      <c r="A8" s="25" t="s">
        <v>147</v>
      </c>
      <c r="B8" s="36" t="s">
        <v>148</v>
      </c>
      <c r="C8" s="25" t="s">
        <v>57</v>
      </c>
      <c r="D8" s="74" t="n">
        <v>2</v>
      </c>
      <c r="E8" s="75" t="n">
        <v>97</v>
      </c>
      <c r="F8" s="25" t="s">
        <v>149</v>
      </c>
      <c r="G8" s="25" t="s">
        <v>150</v>
      </c>
    </row>
    <row r="9" customFormat="false" ht="15" hidden="false" customHeight="false" outlineLevel="0" collapsed="false">
      <c r="A9" s="25" t="s">
        <v>151</v>
      </c>
      <c r="B9" s="36" t="s">
        <v>152</v>
      </c>
      <c r="C9" s="25" t="s">
        <v>59</v>
      </c>
      <c r="D9" s="74" t="n">
        <v>5</v>
      </c>
      <c r="E9" s="75" t="n">
        <v>90</v>
      </c>
      <c r="F9" s="25" t="s">
        <v>153</v>
      </c>
      <c r="G9" s="25" t="s">
        <v>154</v>
      </c>
    </row>
    <row r="11" customFormat="false" ht="15" hidden="false" customHeight="false" outlineLevel="0" collapsed="false">
      <c r="A11" s="9" t="s">
        <v>155</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G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16"/>
    <col collapsed="false" customWidth="true" hidden="false" outlineLevel="0" max="3" min="3" style="0" width="78"/>
    <col collapsed="false" customWidth="true" hidden="false" outlineLevel="0" max="4" min="4" style="0" width="3"/>
    <col collapsed="false" customWidth="true" hidden="false" outlineLevel="0" max="5" min="5" style="0" width="14"/>
    <col collapsed="false" customWidth="true" hidden="false" outlineLevel="0" max="7" min="6" style="0" width="16"/>
  </cols>
  <sheetData>
    <row r="1" customFormat="false" ht="33.75" hidden="false" customHeight="true" outlineLevel="0" collapsed="false">
      <c r="A1" s="5" t="s">
        <v>156</v>
      </c>
      <c r="B1" s="5"/>
      <c r="C1" s="5"/>
      <c r="D1" s="5"/>
      <c r="E1" s="5"/>
      <c r="F1" s="5"/>
      <c r="G1" s="5"/>
    </row>
    <row r="2" customFormat="false" ht="15" hidden="false" customHeight="false" outlineLevel="0" collapsed="false">
      <c r="A2" s="64" t="s">
        <v>157</v>
      </c>
      <c r="B2" s="64"/>
      <c r="C2" s="64"/>
      <c r="D2" s="64"/>
      <c r="E2" s="64"/>
      <c r="F2" s="64"/>
      <c r="G2" s="64"/>
    </row>
    <row r="4" customFormat="false" ht="30" hidden="false" customHeight="true" outlineLevel="0" collapsed="false">
      <c r="A4" s="23" t="s">
        <v>158</v>
      </c>
      <c r="B4" s="23" t="s">
        <v>125</v>
      </c>
      <c r="C4" s="23" t="s">
        <v>159</v>
      </c>
      <c r="E4" s="23" t="s">
        <v>160</v>
      </c>
      <c r="F4" s="23" t="s">
        <v>161</v>
      </c>
      <c r="G4" s="23" t="s">
        <v>162</v>
      </c>
    </row>
    <row r="5" customFormat="false" ht="15" hidden="false" customHeight="false" outlineLevel="0" collapsed="false">
      <c r="A5" s="76" t="s">
        <v>163</v>
      </c>
      <c r="B5" s="77" t="n">
        <v>0.25</v>
      </c>
      <c r="C5" s="78" t="s">
        <v>164</v>
      </c>
      <c r="E5" s="25" t="s">
        <v>36</v>
      </c>
      <c r="F5" s="25" t="s">
        <v>36</v>
      </c>
      <c r="G5" s="25" t="s">
        <v>100</v>
      </c>
    </row>
    <row r="6" customFormat="false" ht="15" hidden="false" customHeight="false" outlineLevel="0" collapsed="false">
      <c r="A6" s="76" t="s">
        <v>165</v>
      </c>
      <c r="B6" s="79" t="n">
        <v>3</v>
      </c>
      <c r="C6" s="78" t="s">
        <v>166</v>
      </c>
      <c r="E6" s="25" t="s">
        <v>50</v>
      </c>
      <c r="F6" s="25" t="s">
        <v>51</v>
      </c>
      <c r="G6" s="25" t="s">
        <v>101</v>
      </c>
    </row>
    <row r="7" customFormat="false" ht="15" hidden="false" customHeight="false" outlineLevel="0" collapsed="false">
      <c r="A7" s="76" t="s">
        <v>167</v>
      </c>
      <c r="B7" s="80" t="n">
        <f aca="false">MAX(Inventory_Data!$A$5:$A$104)</f>
        <v>45292</v>
      </c>
      <c r="C7" s="78" t="s">
        <v>168</v>
      </c>
      <c r="E7" s="25" t="s">
        <v>52</v>
      </c>
      <c r="F7" s="25" t="s">
        <v>53</v>
      </c>
      <c r="G7" s="25" t="s">
        <v>102</v>
      </c>
    </row>
    <row r="8" customFormat="false" ht="15" hidden="false" customHeight="false" outlineLevel="0" collapsed="false">
      <c r="E8" s="25" t="s">
        <v>54</v>
      </c>
      <c r="F8" s="25" t="s">
        <v>55</v>
      </c>
      <c r="G8" s="25" t="s">
        <v>103</v>
      </c>
    </row>
    <row r="9" customFormat="false" ht="15" hidden="false" customHeight="false" outlineLevel="0" collapsed="false">
      <c r="A9" s="65" t="s">
        <v>169</v>
      </c>
      <c r="E9" s="25" t="s">
        <v>56</v>
      </c>
      <c r="F9" s="25" t="s">
        <v>57</v>
      </c>
      <c r="G9" s="25" t="s">
        <v>104</v>
      </c>
    </row>
    <row r="10" customFormat="false" ht="15" hidden="false" customHeight="false" outlineLevel="0" collapsed="false">
      <c r="A10" s="81" t="s">
        <v>170</v>
      </c>
      <c r="B10" s="25" t="str">
        <f aca="false">IF(Dashboard!$B$4="All","*",Dashboard!$B$4)</f>
        <v>*</v>
      </c>
      <c r="C10" s="82" t="s">
        <v>171</v>
      </c>
      <c r="E10" s="25" t="s">
        <v>58</v>
      </c>
      <c r="F10" s="25" t="s">
        <v>59</v>
      </c>
      <c r="G10" s="25" t="s">
        <v>105</v>
      </c>
    </row>
    <row r="11" customFormat="false" ht="15" hidden="false" customHeight="false" outlineLevel="0" collapsed="false">
      <c r="A11" s="81" t="s">
        <v>172</v>
      </c>
      <c r="B11" s="25" t="str">
        <f aca="false">IF(Dashboard!$E$4="All","*",Dashboard!$E$4)</f>
        <v>*</v>
      </c>
      <c r="E11" s="58"/>
      <c r="F11" s="58"/>
      <c r="G11" s="25" t="s">
        <v>106</v>
      </c>
    </row>
    <row r="12" customFormat="false" ht="15" hidden="false" customHeight="false" outlineLevel="0" collapsed="false">
      <c r="E12" s="58"/>
      <c r="F12" s="58"/>
      <c r="G12" s="25" t="s">
        <v>107</v>
      </c>
    </row>
    <row r="13" customFormat="false" ht="15" hidden="false" customHeight="false" outlineLevel="0" collapsed="false">
      <c r="E13" s="58"/>
      <c r="F13" s="58"/>
      <c r="G13" s="25" t="s">
        <v>108</v>
      </c>
    </row>
    <row r="14" customFormat="false" ht="15" hidden="false" customHeight="false" outlineLevel="0" collapsed="false">
      <c r="E14" s="58"/>
      <c r="F14" s="58"/>
      <c r="G14" s="25" t="s">
        <v>109</v>
      </c>
    </row>
    <row r="15" customFormat="false" ht="15" hidden="false" customHeight="false" outlineLevel="0" collapsed="false">
      <c r="E15" s="58"/>
      <c r="F15" s="58"/>
      <c r="G15" s="25" t="s">
        <v>110</v>
      </c>
    </row>
    <row r="16" customFormat="false" ht="15" hidden="false" customHeight="false" outlineLevel="0" collapsed="false">
      <c r="E16" s="58"/>
      <c r="F16" s="58"/>
      <c r="G16" s="25" t="s">
        <v>111</v>
      </c>
    </row>
    <row r="17" customFormat="false" ht="15" hidden="false" customHeight="false" outlineLevel="0" collapsed="false">
      <c r="E17" s="58"/>
      <c r="F17" s="58"/>
      <c r="G17" s="25" t="s">
        <v>112</v>
      </c>
    </row>
    <row r="18" customFormat="false" ht="15" hidden="false" customHeight="false" outlineLevel="0" collapsed="false">
      <c r="E18" s="58"/>
      <c r="F18" s="58"/>
      <c r="G18" s="25" t="s">
        <v>113</v>
      </c>
    </row>
    <row r="19" customFormat="false" ht="15" hidden="false" customHeight="false" outlineLevel="0" collapsed="false">
      <c r="E19" s="58"/>
      <c r="F19" s="58"/>
      <c r="G19" s="25" t="s">
        <v>114</v>
      </c>
    </row>
    <row r="20" customFormat="false" ht="15" hidden="false" customHeight="false" outlineLevel="0" collapsed="false">
      <c r="E20" s="58"/>
      <c r="F20" s="58"/>
      <c r="G20" s="25" t="s">
        <v>115</v>
      </c>
    </row>
    <row r="21" customFormat="false" ht="15" hidden="false" customHeight="false" outlineLevel="0" collapsed="false">
      <c r="E21" s="58"/>
      <c r="F21" s="58"/>
      <c r="G21" s="25" t="s">
        <v>116</v>
      </c>
    </row>
    <row r="22" customFormat="false" ht="15" hidden="false" customHeight="false" outlineLevel="0" collapsed="false">
      <c r="E22" s="58"/>
      <c r="F22" s="58"/>
      <c r="G22" s="25" t="s">
        <v>117</v>
      </c>
    </row>
    <row r="23" customFormat="false" ht="15" hidden="false" customHeight="false" outlineLevel="0" collapsed="false">
      <c r="E23" s="58"/>
      <c r="F23" s="58"/>
      <c r="G23" s="25" t="s">
        <v>118</v>
      </c>
    </row>
    <row r="24" customFormat="false" ht="15" hidden="false" customHeight="false" outlineLevel="0" collapsed="false">
      <c r="E24" s="58"/>
      <c r="F24" s="58"/>
      <c r="G24" s="25" t="s">
        <v>119</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38"/>
    <col collapsed="false" customWidth="true" hidden="false" outlineLevel="0" max="3" min="3" style="0" width="44"/>
    <col collapsed="false" customWidth="true" hidden="false" outlineLevel="0" max="4" min="4" style="0" width="18"/>
  </cols>
  <sheetData>
    <row r="1" customFormat="false" ht="22.05" hidden="false" customHeight="false" outlineLevel="0" collapsed="false">
      <c r="A1" s="83" t="s">
        <v>173</v>
      </c>
      <c r="B1" s="83"/>
      <c r="C1" s="83"/>
      <c r="D1" s="83"/>
    </row>
    <row r="3" customFormat="false" ht="15" hidden="false" customHeight="false" outlineLevel="0" collapsed="false">
      <c r="A3" s="84" t="s">
        <v>174</v>
      </c>
      <c r="B3" s="84" t="s">
        <v>175</v>
      </c>
      <c r="C3" s="84" t="s">
        <v>176</v>
      </c>
      <c r="D3" s="84" t="s">
        <v>177</v>
      </c>
    </row>
    <row r="4" customFormat="false" ht="15" hidden="false" customHeight="false" outlineLevel="0" collapsed="false">
      <c r="A4" s="85" t="s">
        <v>89</v>
      </c>
      <c r="B4" s="85" t="s">
        <v>178</v>
      </c>
      <c r="C4" s="85" t="s">
        <v>179</v>
      </c>
      <c r="D4" s="85" t="s">
        <v>89</v>
      </c>
    </row>
    <row r="5" customFormat="false" ht="15" hidden="false" customHeight="false" outlineLevel="0" collapsed="false">
      <c r="A5" s="85" t="s">
        <v>90</v>
      </c>
      <c r="B5" s="85" t="s">
        <v>180</v>
      </c>
      <c r="C5" s="85" t="s">
        <v>179</v>
      </c>
      <c r="D5" s="85" t="s">
        <v>181</v>
      </c>
    </row>
    <row r="6" customFormat="false" ht="15" hidden="false" customHeight="false" outlineLevel="0" collapsed="false">
      <c r="A6" s="85" t="s">
        <v>78</v>
      </c>
      <c r="B6" s="85" t="s">
        <v>182</v>
      </c>
      <c r="C6" s="85" t="s">
        <v>179</v>
      </c>
      <c r="D6" s="85" t="s">
        <v>181</v>
      </c>
    </row>
    <row r="7" customFormat="false" ht="15" hidden="false" customHeight="false" outlineLevel="0" collapsed="false">
      <c r="A7" s="85" t="s">
        <v>37</v>
      </c>
      <c r="B7" s="85" t="s">
        <v>183</v>
      </c>
      <c r="C7" s="85" t="s">
        <v>179</v>
      </c>
      <c r="D7" s="85" t="s">
        <v>181</v>
      </c>
    </row>
    <row r="8" customFormat="false" ht="15" hidden="false" customHeight="false" outlineLevel="0" collapsed="false">
      <c r="A8" s="85" t="s">
        <v>61</v>
      </c>
      <c r="B8" s="85" t="s">
        <v>184</v>
      </c>
      <c r="C8" s="85" t="s">
        <v>179</v>
      </c>
      <c r="D8" s="85" t="s">
        <v>181</v>
      </c>
    </row>
    <row r="9" customFormat="false" ht="15" hidden="false" customHeight="false" outlineLevel="0" collapsed="false">
      <c r="A9" s="85" t="s">
        <v>79</v>
      </c>
      <c r="B9" s="85" t="s">
        <v>185</v>
      </c>
      <c r="C9" s="85" t="s">
        <v>186</v>
      </c>
      <c r="D9" s="85" t="s">
        <v>187</v>
      </c>
    </row>
    <row r="10" customFormat="false" ht="15" hidden="false" customHeight="false" outlineLevel="0" collapsed="false">
      <c r="A10" s="85" t="s">
        <v>80</v>
      </c>
      <c r="B10" s="85" t="s">
        <v>188</v>
      </c>
      <c r="C10" s="85" t="s">
        <v>189</v>
      </c>
      <c r="D10" s="85" t="s">
        <v>187</v>
      </c>
    </row>
    <row r="11" customFormat="false" ht="15" hidden="false" customHeight="false" outlineLevel="0" collapsed="false">
      <c r="A11" s="85" t="s">
        <v>91</v>
      </c>
      <c r="B11" s="85" t="s">
        <v>190</v>
      </c>
      <c r="C11" s="85" t="s">
        <v>191</v>
      </c>
      <c r="D11" s="85" t="s">
        <v>192</v>
      </c>
    </row>
    <row r="12" customFormat="false" ht="28.35" hidden="false" customHeight="false" outlineLevel="0" collapsed="false">
      <c r="A12" s="85" t="s">
        <v>92</v>
      </c>
      <c r="B12" s="85" t="s">
        <v>193</v>
      </c>
      <c r="C12" s="85" t="s">
        <v>194</v>
      </c>
      <c r="D12" s="85" t="s">
        <v>195</v>
      </c>
    </row>
    <row r="13" customFormat="false" ht="15" hidden="false" customHeight="false" outlineLevel="0" collapsed="false">
      <c r="A13" s="85" t="s">
        <v>84</v>
      </c>
      <c r="B13" s="85" t="s">
        <v>196</v>
      </c>
      <c r="C13" s="85" t="s">
        <v>197</v>
      </c>
      <c r="D13" s="85" t="s">
        <v>195</v>
      </c>
    </row>
    <row r="14" customFormat="false" ht="15" hidden="false" customHeight="false" outlineLevel="0" collapsed="false">
      <c r="A14" s="85" t="s">
        <v>83</v>
      </c>
      <c r="B14" s="85" t="s">
        <v>198</v>
      </c>
      <c r="C14" s="85" t="s">
        <v>199</v>
      </c>
      <c r="D14" s="85" t="s">
        <v>200</v>
      </c>
    </row>
    <row r="15" customFormat="false" ht="28.35" hidden="false" customHeight="false" outlineLevel="0" collapsed="false">
      <c r="A15" s="85" t="s">
        <v>93</v>
      </c>
      <c r="B15" s="85" t="s">
        <v>201</v>
      </c>
      <c r="C15" s="85" t="s">
        <v>202</v>
      </c>
      <c r="D15" s="85" t="s">
        <v>187</v>
      </c>
    </row>
    <row r="16" customFormat="false" ht="15" hidden="false" customHeight="false" outlineLevel="0" collapsed="false">
      <c r="A16" s="85" t="s">
        <v>82</v>
      </c>
      <c r="B16" s="85" t="s">
        <v>203</v>
      </c>
      <c r="C16" s="85" t="s">
        <v>204</v>
      </c>
      <c r="D16" s="85" t="s">
        <v>200</v>
      </c>
    </row>
    <row r="17" customFormat="false" ht="28.35" hidden="false" customHeight="false" outlineLevel="0" collapsed="false">
      <c r="A17" s="85" t="s">
        <v>62</v>
      </c>
      <c r="B17" s="85" t="s">
        <v>205</v>
      </c>
      <c r="C17" s="85" t="s">
        <v>206</v>
      </c>
      <c r="D17" s="85" t="s">
        <v>195</v>
      </c>
    </row>
    <row r="18" customFormat="false" ht="28.35" hidden="false" customHeight="false" outlineLevel="0" collapsed="false">
      <c r="A18" s="85" t="s">
        <v>94</v>
      </c>
      <c r="B18" s="85" t="s">
        <v>207</v>
      </c>
      <c r="C18" s="85" t="s">
        <v>208</v>
      </c>
      <c r="D18" s="85" t="s">
        <v>200</v>
      </c>
    </row>
    <row r="19" customFormat="false" ht="15" hidden="false" customHeight="false" outlineLevel="0" collapsed="false">
      <c r="A19" s="85" t="s">
        <v>95</v>
      </c>
      <c r="B19" s="85" t="s">
        <v>209</v>
      </c>
      <c r="C19" s="85" t="s">
        <v>210</v>
      </c>
      <c r="D19" s="85" t="s">
        <v>211</v>
      </c>
    </row>
    <row r="20" customFormat="false" ht="15" hidden="false" customHeight="false" outlineLevel="0" collapsed="false">
      <c r="A20" s="85" t="s">
        <v>96</v>
      </c>
      <c r="B20" s="85" t="s">
        <v>212</v>
      </c>
      <c r="C20" s="85" t="s">
        <v>213</v>
      </c>
      <c r="D20" s="85" t="s">
        <v>211</v>
      </c>
    </row>
    <row r="21" customFormat="false" ht="15" hidden="false" customHeight="false" outlineLevel="0" collapsed="false">
      <c r="A21" s="85" t="s">
        <v>97</v>
      </c>
      <c r="B21" s="85" t="s">
        <v>214</v>
      </c>
      <c r="C21" s="85" t="s">
        <v>215</v>
      </c>
      <c r="D21" s="85" t="s">
        <v>216</v>
      </c>
    </row>
    <row r="22" customFormat="false" ht="15" hidden="false" customHeight="false" outlineLevel="0" collapsed="false">
      <c r="A22" s="85" t="s">
        <v>87</v>
      </c>
      <c r="B22" s="85" t="s">
        <v>217</v>
      </c>
      <c r="C22" s="85" t="s">
        <v>218</v>
      </c>
      <c r="D22" s="85" t="s">
        <v>195</v>
      </c>
    </row>
    <row r="23" customFormat="false" ht="15" hidden="false" customHeight="false" outlineLevel="0" collapsed="false">
      <c r="A23" s="85" t="s">
        <v>98</v>
      </c>
      <c r="B23" s="85" t="s">
        <v>219</v>
      </c>
      <c r="C23" s="85" t="s">
        <v>220</v>
      </c>
      <c r="D23" s="85" t="s">
        <v>200</v>
      </c>
    </row>
    <row r="24" customFormat="false" ht="15" hidden="false" customHeight="false" outlineLevel="0" collapsed="false">
      <c r="A24" s="85" t="s">
        <v>99</v>
      </c>
      <c r="B24" s="85" t="s">
        <v>221</v>
      </c>
      <c r="C24" s="85" t="s">
        <v>222</v>
      </c>
      <c r="D24" s="85" t="s">
        <v>200</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42"/>
    <col collapsed="false" customWidth="true" hidden="false" outlineLevel="0" max="4" min="3" style="0" width="24"/>
  </cols>
  <sheetData>
    <row r="1" customFormat="false" ht="22.05" hidden="false" customHeight="false" outlineLevel="0" collapsed="false">
      <c r="A1" s="83" t="s">
        <v>223</v>
      </c>
      <c r="B1" s="83"/>
      <c r="C1" s="83"/>
      <c r="D1" s="83"/>
    </row>
    <row r="3" customFormat="false" ht="15" hidden="false" customHeight="true" outlineLevel="0" collapsed="false">
      <c r="A3" s="3" t="s">
        <v>224</v>
      </c>
      <c r="B3" s="4" t="s">
        <v>225</v>
      </c>
      <c r="C3" s="4"/>
      <c r="D3" s="4"/>
    </row>
    <row r="4" customFormat="false" ht="15" hidden="false" customHeight="true" outlineLevel="0" collapsed="false">
      <c r="A4" s="3" t="s">
        <v>226</v>
      </c>
      <c r="B4" s="4" t="s">
        <v>227</v>
      </c>
      <c r="C4" s="4"/>
      <c r="D4" s="4"/>
    </row>
    <row r="5" customFormat="false" ht="15" hidden="false" customHeight="true" outlineLevel="0" collapsed="false">
      <c r="A5" s="3" t="s">
        <v>228</v>
      </c>
      <c r="B5" s="4" t="s">
        <v>229</v>
      </c>
      <c r="C5" s="4"/>
      <c r="D5" s="4"/>
    </row>
    <row r="6" customFormat="false" ht="15" hidden="false" customHeight="true" outlineLevel="0" collapsed="false">
      <c r="A6" s="3" t="s">
        <v>230</v>
      </c>
      <c r="B6" s="4" t="s">
        <v>231</v>
      </c>
      <c r="C6" s="4"/>
      <c r="D6" s="4"/>
    </row>
    <row r="7" customFormat="false" ht="15" hidden="false" customHeight="true" outlineLevel="0" collapsed="false">
      <c r="A7" s="3" t="s">
        <v>232</v>
      </c>
      <c r="B7" s="4" t="s">
        <v>233</v>
      </c>
      <c r="C7" s="4"/>
      <c r="D7" s="4"/>
    </row>
    <row r="8" customFormat="false" ht="28.35" hidden="false" customHeight="true" outlineLevel="0" collapsed="false">
      <c r="A8" s="3" t="s">
        <v>234</v>
      </c>
      <c r="B8" s="4" t="s">
        <v>235</v>
      </c>
      <c r="C8" s="4"/>
      <c r="D8" s="4"/>
    </row>
    <row r="9" customFormat="false" ht="28.35" hidden="false" customHeight="true" outlineLevel="0" collapsed="false">
      <c r="A9" s="3" t="s">
        <v>80</v>
      </c>
      <c r="B9" s="4" t="s">
        <v>236</v>
      </c>
      <c r="C9" s="4"/>
      <c r="D9" s="4"/>
    </row>
    <row r="10" customFormat="false" ht="28.35" hidden="false" customHeight="true" outlineLevel="0" collapsed="false">
      <c r="A10" s="3" t="s">
        <v>237</v>
      </c>
      <c r="B10" s="4" t="s">
        <v>238</v>
      </c>
      <c r="C10" s="4"/>
      <c r="D10" s="4"/>
    </row>
    <row r="11" customFormat="false" ht="48" hidden="false" customHeight="true" outlineLevel="0" collapsed="false">
      <c r="A11" s="3" t="s">
        <v>239</v>
      </c>
      <c r="B11" s="4" t="s">
        <v>240</v>
      </c>
      <c r="C11" s="4"/>
      <c r="D11" s="4"/>
    </row>
  </sheetData>
  <mergeCells count="10">
    <mergeCell ref="A1:D1"/>
    <mergeCell ref="B3:D3"/>
    <mergeCell ref="B4:D4"/>
    <mergeCell ref="B5:D5"/>
    <mergeCell ref="B6:D6"/>
    <mergeCell ref="B7:D7"/>
    <mergeCell ref="B8:D8"/>
    <mergeCell ref="B9:D9"/>
    <mergeCell ref="B10:D10"/>
    <mergeCell ref="B11:D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1:F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4"/>
    <col collapsed="false" customWidth="true" hidden="false" outlineLevel="0" max="3" min="3" style="0" width="34"/>
    <col collapsed="false" customWidth="true" hidden="false" outlineLevel="0" max="4" min="4" style="0" width="36"/>
    <col collapsed="false" customWidth="true" hidden="false" outlineLevel="0" max="5" min="5" style="0" width="62"/>
    <col collapsed="false" customWidth="true" hidden="false" outlineLevel="0" max="6" min="6" style="0" width="58"/>
  </cols>
  <sheetData>
    <row r="1" customFormat="false" ht="33.75" hidden="false" customHeight="true" outlineLevel="0" collapsed="false">
      <c r="A1" s="5" t="s">
        <v>241</v>
      </c>
      <c r="B1" s="5"/>
      <c r="C1" s="5"/>
      <c r="D1" s="5"/>
      <c r="E1" s="5"/>
      <c r="F1" s="5"/>
    </row>
    <row r="2" customFormat="false" ht="15" hidden="false" customHeight="false" outlineLevel="0" collapsed="false">
      <c r="A2" s="64" t="s">
        <v>242</v>
      </c>
      <c r="B2" s="64"/>
      <c r="C2" s="64"/>
      <c r="D2" s="64"/>
      <c r="E2" s="64"/>
      <c r="F2" s="64"/>
    </row>
    <row r="4" customFormat="false" ht="30" hidden="false" customHeight="true" outlineLevel="0" collapsed="false">
      <c r="A4" s="23" t="s">
        <v>243</v>
      </c>
      <c r="B4" s="23" t="s">
        <v>244</v>
      </c>
      <c r="C4" s="23" t="s">
        <v>245</v>
      </c>
      <c r="D4" s="23" t="s">
        <v>246</v>
      </c>
      <c r="E4" s="23" t="s">
        <v>247</v>
      </c>
      <c r="F4" s="23" t="s">
        <v>248</v>
      </c>
    </row>
    <row r="5" customFormat="false" ht="48" hidden="false" customHeight="true" outlineLevel="0" collapsed="false">
      <c r="A5" s="86" t="n">
        <v>1</v>
      </c>
      <c r="B5" s="87" t="s">
        <v>249</v>
      </c>
      <c r="C5" s="88" t="s">
        <v>250</v>
      </c>
      <c r="D5" s="88" t="s">
        <v>251</v>
      </c>
      <c r="E5" s="89" t="s">
        <v>252</v>
      </c>
      <c r="F5" s="88" t="s">
        <v>253</v>
      </c>
    </row>
    <row r="6" customFormat="false" ht="48" hidden="false" customHeight="true" outlineLevel="0" collapsed="false">
      <c r="A6" s="90" t="n">
        <v>2</v>
      </c>
      <c r="B6" s="91" t="s">
        <v>254</v>
      </c>
      <c r="C6" s="92" t="s">
        <v>255</v>
      </c>
      <c r="D6" s="92" t="s">
        <v>256</v>
      </c>
      <c r="E6" s="93" t="s">
        <v>257</v>
      </c>
      <c r="F6" s="92" t="s">
        <v>258</v>
      </c>
    </row>
    <row r="7" customFormat="false" ht="48" hidden="false" customHeight="true" outlineLevel="0" collapsed="false">
      <c r="A7" s="86" t="n">
        <v>3</v>
      </c>
      <c r="B7" s="87" t="s">
        <v>259</v>
      </c>
      <c r="C7" s="88" t="s">
        <v>260</v>
      </c>
      <c r="D7" s="88" t="s">
        <v>261</v>
      </c>
      <c r="E7" s="89" t="s">
        <v>262</v>
      </c>
      <c r="F7" s="88" t="s">
        <v>263</v>
      </c>
    </row>
    <row r="8" customFormat="false" ht="48" hidden="false" customHeight="true" outlineLevel="0" collapsed="false">
      <c r="A8" s="90" t="n">
        <v>4</v>
      </c>
      <c r="B8" s="91" t="s">
        <v>264</v>
      </c>
      <c r="C8" s="92" t="s">
        <v>265</v>
      </c>
      <c r="D8" s="92" t="s">
        <v>266</v>
      </c>
      <c r="E8" s="93" t="s">
        <v>267</v>
      </c>
      <c r="F8" s="92" t="s">
        <v>268</v>
      </c>
    </row>
    <row r="9" customFormat="false" ht="48" hidden="false" customHeight="true" outlineLevel="0" collapsed="false">
      <c r="A9" s="86" t="n">
        <v>5</v>
      </c>
      <c r="B9" s="87" t="s">
        <v>269</v>
      </c>
      <c r="C9" s="88" t="s">
        <v>270</v>
      </c>
      <c r="D9" s="88" t="s">
        <v>271</v>
      </c>
      <c r="E9" s="89" t="s">
        <v>272</v>
      </c>
      <c r="F9" s="88" t="s">
        <v>273</v>
      </c>
    </row>
    <row r="10" customFormat="false" ht="48" hidden="false" customHeight="true" outlineLevel="0" collapsed="false">
      <c r="A10" s="90" t="n">
        <v>6</v>
      </c>
      <c r="B10" s="91" t="s">
        <v>274</v>
      </c>
      <c r="C10" s="92" t="s">
        <v>275</v>
      </c>
      <c r="D10" s="92" t="s">
        <v>276</v>
      </c>
      <c r="E10" s="93" t="s">
        <v>277</v>
      </c>
      <c r="F10" s="92" t="s">
        <v>278</v>
      </c>
    </row>
    <row r="11" customFormat="false" ht="48" hidden="false" customHeight="true" outlineLevel="0" collapsed="false">
      <c r="A11" s="86" t="n">
        <v>7</v>
      </c>
      <c r="B11" s="87" t="s">
        <v>279</v>
      </c>
      <c r="C11" s="88" t="s">
        <v>280</v>
      </c>
      <c r="D11" s="88" t="s">
        <v>281</v>
      </c>
      <c r="E11" s="89" t="s">
        <v>282</v>
      </c>
      <c r="F11" s="88" t="s">
        <v>283</v>
      </c>
    </row>
    <row r="12" customFormat="false" ht="48" hidden="false" customHeight="true" outlineLevel="0" collapsed="false">
      <c r="A12" s="90" t="n">
        <v>8</v>
      </c>
      <c r="B12" s="91" t="s">
        <v>284</v>
      </c>
      <c r="C12" s="92" t="s">
        <v>285</v>
      </c>
      <c r="D12" s="92" t="s">
        <v>286</v>
      </c>
      <c r="E12" s="93" t="s">
        <v>287</v>
      </c>
      <c r="F12" s="92" t="s">
        <v>288</v>
      </c>
    </row>
    <row r="13" customFormat="false" ht="48" hidden="false" customHeight="true" outlineLevel="0" collapsed="false">
      <c r="A13" s="86" t="n">
        <v>9</v>
      </c>
      <c r="B13" s="87" t="s">
        <v>289</v>
      </c>
      <c r="C13" s="88" t="s">
        <v>290</v>
      </c>
      <c r="D13" s="88" t="s">
        <v>291</v>
      </c>
      <c r="E13" s="89" t="s">
        <v>292</v>
      </c>
      <c r="F13" s="88" t="s">
        <v>293</v>
      </c>
    </row>
    <row r="14" customFormat="false" ht="48" hidden="false" customHeight="true" outlineLevel="0" collapsed="false">
      <c r="A14" s="90" t="n">
        <v>10</v>
      </c>
      <c r="B14" s="91" t="s">
        <v>294</v>
      </c>
      <c r="C14" s="92" t="s">
        <v>295</v>
      </c>
      <c r="D14" s="92" t="s">
        <v>296</v>
      </c>
      <c r="E14" s="93" t="s">
        <v>297</v>
      </c>
      <c r="F14" s="92" t="s">
        <v>298</v>
      </c>
    </row>
    <row r="15" customFormat="false" ht="48" hidden="false" customHeight="true" outlineLevel="0" collapsed="false">
      <c r="A15" s="86" t="n">
        <v>11</v>
      </c>
      <c r="B15" s="87" t="s">
        <v>299</v>
      </c>
      <c r="C15" s="88" t="s">
        <v>300</v>
      </c>
      <c r="D15" s="88" t="s">
        <v>301</v>
      </c>
      <c r="E15" s="89" t="s">
        <v>302</v>
      </c>
      <c r="F15" s="88" t="s">
        <v>303</v>
      </c>
    </row>
    <row r="16" customFormat="false" ht="48" hidden="false" customHeight="true" outlineLevel="0" collapsed="false">
      <c r="A16" s="90" t="n">
        <v>12</v>
      </c>
      <c r="B16" s="91" t="s">
        <v>304</v>
      </c>
      <c r="C16" s="92" t="s">
        <v>305</v>
      </c>
      <c r="D16" s="92" t="s">
        <v>306</v>
      </c>
      <c r="E16" s="93" t="s">
        <v>307</v>
      </c>
      <c r="F16" s="92" t="s">
        <v>308</v>
      </c>
    </row>
    <row r="17" customFormat="false" ht="48" hidden="false" customHeight="true" outlineLevel="0" collapsed="false">
      <c r="A17" s="86" t="n">
        <v>13</v>
      </c>
      <c r="B17" s="87" t="s">
        <v>309</v>
      </c>
      <c r="C17" s="88" t="s">
        <v>310</v>
      </c>
      <c r="D17" s="88" t="s">
        <v>311</v>
      </c>
      <c r="E17" s="89" t="s">
        <v>312</v>
      </c>
      <c r="F17" s="88" t="s">
        <v>313</v>
      </c>
    </row>
    <row r="18" customFormat="false" ht="48" hidden="false" customHeight="true" outlineLevel="0" collapsed="false">
      <c r="A18" s="90" t="n">
        <v>14</v>
      </c>
      <c r="B18" s="91" t="s">
        <v>314</v>
      </c>
      <c r="C18" s="92" t="s">
        <v>315</v>
      </c>
      <c r="D18" s="92" t="s">
        <v>316</v>
      </c>
      <c r="E18" s="93" t="s">
        <v>317</v>
      </c>
      <c r="F18" s="92" t="s">
        <v>318</v>
      </c>
    </row>
    <row r="19" customFormat="false" ht="48" hidden="false" customHeight="true" outlineLevel="0" collapsed="false">
      <c r="A19" s="86" t="n">
        <v>15</v>
      </c>
      <c r="B19" s="87" t="s">
        <v>319</v>
      </c>
      <c r="C19" s="88" t="s">
        <v>320</v>
      </c>
      <c r="D19" s="88" t="s">
        <v>321</v>
      </c>
      <c r="E19" s="89" t="s">
        <v>322</v>
      </c>
      <c r="F19" s="88" t="s">
        <v>323</v>
      </c>
    </row>
    <row r="20" customFormat="false" ht="48" hidden="false" customHeight="true" outlineLevel="0" collapsed="false">
      <c r="A20" s="90" t="n">
        <v>16</v>
      </c>
      <c r="B20" s="91" t="s">
        <v>324</v>
      </c>
      <c r="C20" s="92" t="s">
        <v>325</v>
      </c>
      <c r="D20" s="92" t="s">
        <v>326</v>
      </c>
      <c r="E20" s="93" t="s">
        <v>327</v>
      </c>
      <c r="F20" s="92" t="s">
        <v>328</v>
      </c>
    </row>
    <row r="21" customFormat="false" ht="48" hidden="false" customHeight="true" outlineLevel="0" collapsed="false">
      <c r="A21" s="86" t="n">
        <v>17</v>
      </c>
      <c r="B21" s="87" t="s">
        <v>329</v>
      </c>
      <c r="C21" s="88" t="s">
        <v>330</v>
      </c>
      <c r="D21" s="88" t="s">
        <v>331</v>
      </c>
      <c r="E21" s="89" t="s">
        <v>332</v>
      </c>
      <c r="F21" s="88" t="s">
        <v>333</v>
      </c>
    </row>
    <row r="22" customFormat="false" ht="48" hidden="false" customHeight="true" outlineLevel="0" collapsed="false">
      <c r="A22" s="90" t="n">
        <v>18</v>
      </c>
      <c r="B22" s="91" t="s">
        <v>334</v>
      </c>
      <c r="C22" s="92" t="s">
        <v>335</v>
      </c>
      <c r="D22" s="92" t="s">
        <v>336</v>
      </c>
      <c r="E22" s="93" t="s">
        <v>337</v>
      </c>
      <c r="F22" s="92" t="s">
        <v>338</v>
      </c>
    </row>
    <row r="23" customFormat="false" ht="48" hidden="false" customHeight="true" outlineLevel="0" collapsed="false">
      <c r="A23" s="86" t="n">
        <v>19</v>
      </c>
      <c r="B23" s="87" t="s">
        <v>339</v>
      </c>
      <c r="C23" s="88" t="s">
        <v>340</v>
      </c>
      <c r="D23" s="88" t="s">
        <v>341</v>
      </c>
      <c r="E23" s="89" t="s">
        <v>342</v>
      </c>
      <c r="F23" s="88" t="s">
        <v>343</v>
      </c>
    </row>
    <row r="24" customFormat="false" ht="48" hidden="false" customHeight="true" outlineLevel="0" collapsed="false">
      <c r="A24" s="90" t="n">
        <v>20</v>
      </c>
      <c r="B24" s="91" t="s">
        <v>344</v>
      </c>
      <c r="C24" s="92" t="s">
        <v>345</v>
      </c>
      <c r="D24" s="92" t="s">
        <v>346</v>
      </c>
      <c r="E24" s="93" t="s">
        <v>347</v>
      </c>
      <c r="F24" s="92" t="s">
        <v>348</v>
      </c>
    </row>
    <row r="26" customFormat="false" ht="21.75" hidden="false" customHeight="true" outlineLevel="0" collapsed="false">
      <c r="A26" s="22" t="s">
        <v>349</v>
      </c>
      <c r="B26" s="22"/>
      <c r="C26" s="22"/>
      <c r="D26" s="22"/>
      <c r="E26" s="22"/>
      <c r="F26" s="22"/>
    </row>
    <row r="27" customFormat="false" ht="15" hidden="false" customHeight="false" outlineLevel="0" collapsed="false">
      <c r="A27" s="94" t="s">
        <v>350</v>
      </c>
      <c r="B27" s="94"/>
      <c r="C27" s="94"/>
      <c r="D27" s="94"/>
      <c r="E27" s="94"/>
      <c r="F27" s="94"/>
    </row>
    <row r="28" customFormat="false" ht="15" hidden="false" customHeight="false" outlineLevel="0" collapsed="false">
      <c r="A28" s="94" t="s">
        <v>351</v>
      </c>
      <c r="B28" s="94"/>
      <c r="C28" s="94"/>
      <c r="D28" s="94"/>
      <c r="E28" s="94"/>
      <c r="F28" s="94"/>
    </row>
    <row r="29" customFormat="false" ht="15" hidden="false" customHeight="false" outlineLevel="0" collapsed="false">
      <c r="A29" s="94" t="s">
        <v>352</v>
      </c>
      <c r="B29" s="94"/>
      <c r="C29" s="94"/>
      <c r="D29" s="94"/>
      <c r="E29" s="94"/>
      <c r="F29" s="94"/>
    </row>
    <row r="30" customFormat="false" ht="15" hidden="false" customHeight="false" outlineLevel="0" collapsed="false">
      <c r="A30" s="94" t="s">
        <v>353</v>
      </c>
      <c r="B30" s="94"/>
      <c r="C30" s="94"/>
      <c r="D30" s="94"/>
      <c r="E30" s="94"/>
      <c r="F30" s="94"/>
    </row>
    <row r="32" customFormat="false" ht="21.75" hidden="false" customHeight="true" outlineLevel="0" collapsed="false">
      <c r="A32" s="22" t="s">
        <v>354</v>
      </c>
      <c r="B32" s="22"/>
      <c r="C32" s="22"/>
      <c r="D32" s="22"/>
      <c r="E32" s="22"/>
      <c r="F32" s="22"/>
    </row>
    <row r="33" customFormat="false" ht="15" hidden="false" customHeight="false" outlineLevel="0" collapsed="false">
      <c r="A33" s="95" t="s">
        <v>355</v>
      </c>
      <c r="B33" s="95"/>
      <c r="C33" s="95"/>
      <c r="D33" s="95"/>
      <c r="E33" s="95"/>
      <c r="F33" s="95"/>
    </row>
    <row r="34" customFormat="false" ht="15" hidden="false" customHeight="false" outlineLevel="0" collapsed="false">
      <c r="A34" s="95" t="s">
        <v>356</v>
      </c>
      <c r="B34" s="95"/>
      <c r="C34" s="95"/>
      <c r="D34" s="95"/>
      <c r="E34" s="95"/>
      <c r="F34" s="95"/>
    </row>
    <row r="35" customFormat="false" ht="15" hidden="false" customHeight="false" outlineLevel="0" collapsed="false">
      <c r="A35" s="95" t="s">
        <v>357</v>
      </c>
      <c r="B35" s="95"/>
      <c r="C35" s="95"/>
      <c r="D35" s="95"/>
      <c r="E35" s="95"/>
      <c r="F35" s="95"/>
    </row>
    <row r="36" customFormat="false" ht="15" hidden="false" customHeight="false" outlineLevel="0" collapsed="false">
      <c r="A36" s="95" t="s">
        <v>358</v>
      </c>
      <c r="B36" s="95"/>
      <c r="C36" s="95"/>
      <c r="D36" s="95"/>
      <c r="E36" s="95"/>
      <c r="F36" s="95"/>
    </row>
  </sheetData>
  <mergeCells count="12">
    <mergeCell ref="A1:F1"/>
    <mergeCell ref="A2:F2"/>
    <mergeCell ref="A26:F26"/>
    <mergeCell ref="A27:F27"/>
    <mergeCell ref="A28:F28"/>
    <mergeCell ref="A29:F29"/>
    <mergeCell ref="A30:F30"/>
    <mergeCell ref="A32:F32"/>
    <mergeCell ref="A33:F33"/>
    <mergeCell ref="A34:F34"/>
    <mergeCell ref="A35:F35"/>
    <mergeCell ref="A36:F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2026-10-07T07:46:49Z</dcterms:created>
  <dc:creator>Sanjai R</dc:creator>
  <dc:description/>
  <dc:language>en-US</dc:language>
  <cp:lastModifiedBy/>
  <dcterms:modified xsi:type="dcterms:W3CDTF">2026-10-09T04:24:35Z</dcterms:modified>
  <cp:revision>1</cp:revision>
  <dc:subject>Kaggle-based inventory working model</dc:subject>
  <dc:title>Inventory Stock Alert System – Step 1–3</dc:title>
</cp:coreProperties>
</file>

<file path=docProps/custom.xml><?xml version="1.0" encoding="utf-8"?>
<Properties xmlns="http://schemas.openxmlformats.org/officeDocument/2006/custom-properties" xmlns:vt="http://schemas.openxmlformats.org/officeDocument/2006/docPropsVTypes"/>
</file>